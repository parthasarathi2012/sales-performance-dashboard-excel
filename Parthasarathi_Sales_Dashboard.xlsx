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Lookup" sheetId="3" state="visible" r:id="rId5"/>
  </sheets>
  <definedNames>
    <definedName function="false" hidden="false" localSheetId="0" name="_xlnm.Print_Area" vbProcedure="false">Dashboard!$A$1:$I$36</definedName>
    <definedName function="false" hidden="false" localSheetId="2" name="_xlnm.Print_Area" vbProcedure="false">Lookup!$A$1:$C$7</definedName>
    <definedName function="false" hidden="false" localSheetId="1" name="_xlnm.Print_Area" vbProcedure="false">Raw_Data!$A$1:$J$91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<sst xmlns="http://schemas.openxmlformats.org/spreadsheetml/2006/main" count="406" uniqueCount="132">
  <si>
    <t xml:space="preserve">Sales Performance Dashboard</t>
  </si>
  <si>
    <t xml:space="preserve">Author: Parthasarathi S | Oracle SQL Developer &amp; Data Analyst</t>
  </si>
  <si>
    <t xml:space="preserve">Total Revenue (₹)</t>
  </si>
  <si>
    <t xml:space="preserve">Total Profit (₹)</t>
  </si>
  <si>
    <t xml:space="preserve">Profit Margin</t>
  </si>
  <si>
    <t xml:space="preserve">Total Orders</t>
  </si>
  <si>
    <t xml:space="preserve">Revenue &amp; Profit by Region</t>
  </si>
  <si>
    <t xml:space="preserve">Revenue by Category</t>
  </si>
  <si>
    <t xml:space="preserve">Region</t>
  </si>
  <si>
    <t xml:space="preserve">Revenue (₹)</t>
  </si>
  <si>
    <t xml:space="preserve">Profit (₹)</t>
  </si>
  <si>
    <t xml:space="preserve">Orders</t>
  </si>
  <si>
    <t xml:space="preserve">Category</t>
  </si>
  <si>
    <t xml:space="preserve">North</t>
  </si>
  <si>
    <t xml:space="preserve">Computing</t>
  </si>
  <si>
    <t xml:space="preserve">South</t>
  </si>
  <si>
    <t xml:space="preserve">Peripherals</t>
  </si>
  <si>
    <t xml:space="preserve">East</t>
  </si>
  <si>
    <t xml:space="preserve">Accessories</t>
  </si>
  <si>
    <t xml:space="preserve">West</t>
  </si>
  <si>
    <t xml:space="preserve">Order ID</t>
  </si>
  <si>
    <t xml:space="preserve">Date</t>
  </si>
  <si>
    <t xml:space="preserve">Sales Rep</t>
  </si>
  <si>
    <t xml:space="preserve">Product</t>
  </si>
  <si>
    <t xml:space="preserve">Units Sold</t>
  </si>
  <si>
    <t xml:space="preserve">Unit Price</t>
  </si>
  <si>
    <t xml:space="preserve">Revenue</t>
  </si>
  <si>
    <t xml:space="preserve">Cost</t>
  </si>
  <si>
    <t xml:space="preserve">Profit</t>
  </si>
  <si>
    <t xml:space="preserve">ORD-1000</t>
  </si>
  <si>
    <t xml:space="preserve">Arun</t>
  </si>
  <si>
    <t xml:space="preserve">Webcam</t>
  </si>
  <si>
    <t xml:space="preserve">ORD-1001</t>
  </si>
  <si>
    <t xml:space="preserve">Divya</t>
  </si>
  <si>
    <t xml:space="preserve">ORD-1002</t>
  </si>
  <si>
    <t xml:space="preserve">Ramesh</t>
  </si>
  <si>
    <t xml:space="preserve">Mouse</t>
  </si>
  <si>
    <t xml:space="preserve">ORD-1003</t>
  </si>
  <si>
    <t xml:space="preserve">Monitor</t>
  </si>
  <si>
    <t xml:space="preserve">ORD-1004</t>
  </si>
  <si>
    <t xml:space="preserve">ORD-1005</t>
  </si>
  <si>
    <t xml:space="preserve">ORD-1006</t>
  </si>
  <si>
    <t xml:space="preserve">ORD-1007</t>
  </si>
  <si>
    <t xml:space="preserve">ORD-1008</t>
  </si>
  <si>
    <t xml:space="preserve">ORD-1009</t>
  </si>
  <si>
    <t xml:space="preserve">Keyboard</t>
  </si>
  <si>
    <t xml:space="preserve">ORD-1010</t>
  </si>
  <si>
    <t xml:space="preserve">Laptop</t>
  </si>
  <si>
    <t xml:space="preserve">ORD-1011</t>
  </si>
  <si>
    <t xml:space="preserve">Priya</t>
  </si>
  <si>
    <t xml:space="preserve">Docking Station</t>
  </si>
  <si>
    <t xml:space="preserve">ORD-1012</t>
  </si>
  <si>
    <t xml:space="preserve">ORD-1013</t>
  </si>
  <si>
    <t xml:space="preserve">Karthik</t>
  </si>
  <si>
    <t xml:space="preserve">ORD-1014</t>
  </si>
  <si>
    <t xml:space="preserve">ORD-1015</t>
  </si>
  <si>
    <t xml:space="preserve">ORD-1016</t>
  </si>
  <si>
    <t xml:space="preserve">ORD-1017</t>
  </si>
  <si>
    <t xml:space="preserve">ORD-1018</t>
  </si>
  <si>
    <t xml:space="preserve">Meena</t>
  </si>
  <si>
    <t xml:space="preserve">ORD-1019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</si>
  <si>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</si>
  <si>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</si>
  <si>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</si>
  <si>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</si>
  <si>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</si>
  <si>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</si>
  <si>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</si>
  <si>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</si>
  <si>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</si>
  <si>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</si>
  <si>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</si>
  <si>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</si>
  <si>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</si>
  <si>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</si>
  <si>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</si>
  <si>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</si>
  <si>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</si>
  <si>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</si>
  <si>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</si>
  <si>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</si>
  <si>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</si>
  <si>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</si>
  <si>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</si>
  <si>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</si>
  <si>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</si>
  <si>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</si>
  <si>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</si>
  <si>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</si>
  <si>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</si>
  <si>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</si>
  <si>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</si>
  <si>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</si>
  <si>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</si>
  <si>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</si>
  <si>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</si>
  <si>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</si>
  <si>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</si>
  <si>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</si>
  <si>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</si>
  <si>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</si>
  <si>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</si>
  <si>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</si>
  <si>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</si>
  <si>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</si>
  <si>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</si>
  <si>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</si>
  <si>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</si>
  <si>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</si>
  <si>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</si>
  <si>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</si>
  <si>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</si>
  <si>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</si>
  <si>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</si>
  <si>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</si>
  <si>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</si>
  <si>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</si>
  <si>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</si>
  <si>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</si>
  <si>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</si>
  <si>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</si>
  <si>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</si>
  <si>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</si>
  <si>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</si>
  <si>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</si>
  <si>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</si>
  <si>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</si>
  <si>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</si>
  <si>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</si>
  <si>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</si>
  <si>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</si>
  <si>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Cost Ratio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</si>
</sst>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dd\-mmm\-yyyy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0F8"/>
        <bgColor rgb="FFF9F9F9"/>
      </patternFill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AF0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Dashboard!$C$12:$C$15</c:f>
              <c:numCache>
                <c:formatCode>#,##0</c:formatCode>
                <c:ptCount val="4"/>
                <c:pt idx="0">
                  <c:v>5587400</c:v>
                </c:pt>
                <c:pt idx="1">
                  <c:v>3136400</c:v>
                </c:pt>
                <c:pt idx="2">
                  <c:v>3658900</c:v>
                </c:pt>
                <c:pt idx="3">
                  <c:v>3086600</c:v>
                </c:pt>
              </c:numCache>
            </c:numRef>
          </c:val>
        </c:ser>
        <c:gapWidth val="150"/>
        <c:overlap val="0"/>
        <c:axId val="59239477"/>
        <c:axId val="69478078"/>
      </c:barChart>
      <c:catAx>
        <c:axId val="592394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78078"/>
        <c:crosses val="autoZero"/>
        <c:auto val="1"/>
        <c:lblAlgn val="ctr"/>
        <c:lblOffset val="100"/>
        <c:noMultiLvlLbl val="0"/>
      </c:catAx>
      <c:valAx>
        <c:axId val="69478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394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Dashboard!H11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Dashboard!$G$12:$G$14</c:f>
              <c:strCache>
                <c:ptCount val="3"/>
                <c:pt idx="0">
                  <c:v>Computing</c:v>
                </c:pt>
                <c:pt idx="1">
                  <c:v>Peripherals</c:v>
                </c:pt>
                <c:pt idx="2">
                  <c:v>Accessories</c:v>
                </c:pt>
              </c:strCache>
            </c:strRef>
          </c:cat>
          <c:val>
            <c:numRef>
              <c:f>Dashboard!$H$12:$H$14</c:f>
              <c:numCache>
                <c:formatCode>#,##0</c:formatCode>
                <c:ptCount val="3"/>
                <c:pt idx="0">
                  <c:v>11935000</c:v>
                </c:pt>
                <c:pt idx="1">
                  <c:v>2686300</c:v>
                </c:pt>
                <c:pt idx="2">
                  <c:v>848000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41040</xdr:rowOff>
    </xdr:from>
    <xdr:to>
      <xdr:col>6</xdr:col>
      <xdr:colOff>105480</xdr:colOff>
      <xdr:row>31</xdr:row>
      <xdr:rowOff>63360</xdr:rowOff>
    </xdr:to>
    <xdr:graphicFrame>
      <xdr:nvGraphicFramePr>
        <xdr:cNvPr id="0" name="Chart 1"/>
        <xdr:cNvGraphicFramePr/>
      </xdr:nvGraphicFramePr>
      <xdr:xfrm>
        <a:off x="211320" y="31240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41040</xdr:rowOff>
    </xdr:from>
    <xdr:to>
      <xdr:col>13</xdr:col>
      <xdr:colOff>56160</xdr:colOff>
      <xdr:row>31</xdr:row>
      <xdr:rowOff>63360</xdr:rowOff>
    </xdr:to>
    <xdr:graphicFrame>
      <xdr:nvGraphicFramePr>
        <xdr:cNvPr id="1" name="Chart 2"/>
        <xdr:cNvGraphicFramePr/>
      </xdr:nvGraphicFramePr>
      <xdr:xfrm>
        <a:off x="5145480" y="31240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6" hidden="false" customHeight="true" outlineLevel="0" collapsed="false"/>
    <row r="6" customFormat="false" ht="15" hidden="false" customHeight="false" outlineLevel="0" collapsed="false">
      <c r="B6" s="3" t="s">
        <v>2</v>
      </c>
      <c r="C6" s="3"/>
      <c r="D6" s="3" t="s">
        <v>3</v>
      </c>
      <c r="E6" s="3"/>
      <c r="F6" s="3" t="s">
        <v>4</v>
      </c>
      <c r="G6" s="3"/>
      <c r="H6" s="3" t="s">
        <v>5</v>
      </c>
      <c r="I6" s="3"/>
    </row>
    <row r="7" customFormat="false" ht="22.05" hidden="false" customHeight="false" outlineLevel="0" collapsed="false">
      <c r="B7" s="4" t="n">
        <f aca="false">SUM(Raw_Data!H2:H91)</f>
        <v>15469300</v>
      </c>
      <c r="C7" s="4"/>
      <c r="D7" s="4" t="n">
        <f aca="false">SUM(Raw_Data!J2:J91)</f>
        <v>4859521</v>
      </c>
      <c r="E7" s="4"/>
      <c r="F7" s="5" t="n">
        <f aca="false">D7/B7</f>
        <v>0.314139683114297</v>
      </c>
      <c r="G7" s="5"/>
      <c r="H7" s="4" t="n">
        <f aca="false">COUNTA(Raw_Data!A2:A91)</f>
        <v>90</v>
      </c>
      <c r="I7" s="4"/>
    </row>
    <row r="10" customFormat="false" ht="15" hidden="false" customHeight="false" outlineLevel="0" collapsed="false">
      <c r="B10" s="6" t="s">
        <v>6</v>
      </c>
      <c r="G10" s="6" t="s">
        <v>7</v>
      </c>
    </row>
    <row r="11" customFormat="false" ht="15" hidden="false" customHeight="false" outlineLevel="0" collapsed="false">
      <c r="B11" s="7" t="s">
        <v>8</v>
      </c>
      <c r="C11" s="7" t="s">
        <v>9</v>
      </c>
      <c r="D11" s="7" t="s">
        <v>10</v>
      </c>
      <c r="E11" s="7" t="s">
        <v>11</v>
      </c>
      <c r="G11" s="8" t="s">
        <v>12</v>
      </c>
      <c r="H11" s="8" t="s">
        <v>9</v>
      </c>
    </row>
    <row r="12" customFormat="false" ht="15" hidden="false" customHeight="false" outlineLevel="0" collapsed="false">
      <c r="B12" s="9" t="s">
        <v>13</v>
      </c>
      <c r="C12" s="10" t="n">
        <f aca="false">SUMIFS(Raw_Data!$H$2:$H$91,Raw_Data!$C$2:$C$91,B12)</f>
        <v>5587400</v>
      </c>
      <c r="D12" s="10" t="n">
        <f aca="false">SUMIFS(Raw_Data!$J$2:$J$91,Raw_Data!$C$2:$C$91,B12)</f>
        <v>1765039</v>
      </c>
      <c r="E12" s="10" t="n">
        <f aca="false">COUNTIFS(Raw_Data!$C$2:$C$91,B12)</f>
        <v>28</v>
      </c>
      <c r="G12" s="9" t="s">
        <v>14</v>
      </c>
      <c r="H12" s="10" t="n">
        <f aca="false">SUMPRODUCT((Raw_Data!$H$2:$H$91)*(VLOOKUP(Raw_Data!$E$2:$E$91,Lookup!$A$2:$B$7,2,FALSE())=G12))</f>
        <v>11935000</v>
      </c>
    </row>
    <row r="13" customFormat="false" ht="15" hidden="false" customHeight="false" outlineLevel="0" collapsed="false">
      <c r="B13" s="9" t="s">
        <v>15</v>
      </c>
      <c r="C13" s="10" t="n">
        <f aca="false">SUMIFS(Raw_Data!$H$2:$H$91,Raw_Data!$C$2:$C$91,B13)</f>
        <v>3136400</v>
      </c>
      <c r="D13" s="10" t="n">
        <f aca="false">SUMIFS(Raw_Data!$J$2:$J$91,Raw_Data!$C$2:$C$91,B13)</f>
        <v>965757</v>
      </c>
      <c r="E13" s="10" t="n">
        <f aca="false">COUNTIFS(Raw_Data!$C$2:$C$91,B13)</f>
        <v>18</v>
      </c>
      <c r="G13" s="9" t="s">
        <v>16</v>
      </c>
      <c r="H13" s="10" t="n">
        <f aca="false">SUMPRODUCT((Raw_Data!$H$2:$H$91)*(VLOOKUP(Raw_Data!$E$2:$E$91,Lookup!$A$2:$B$7,2,FALSE())=G13))</f>
        <v>2686300</v>
      </c>
    </row>
    <row r="14" customFormat="false" ht="15" hidden="false" customHeight="false" outlineLevel="0" collapsed="false">
      <c r="B14" s="9" t="s">
        <v>17</v>
      </c>
      <c r="C14" s="10" t="n">
        <f aca="false">SUMIFS(Raw_Data!$H$2:$H$91,Raw_Data!$C$2:$C$91,B14)</f>
        <v>3658900</v>
      </c>
      <c r="D14" s="10" t="n">
        <f aca="false">SUMIFS(Raw_Data!$J$2:$J$91,Raw_Data!$C$2:$C$91,B14)</f>
        <v>1162788</v>
      </c>
      <c r="E14" s="10" t="n">
        <f aca="false">COUNTIFS(Raw_Data!$C$2:$C$91,B14)</f>
        <v>20</v>
      </c>
      <c r="G14" s="9" t="s">
        <v>18</v>
      </c>
      <c r="H14" s="10" t="n">
        <f aca="false">SUMPRODUCT((Raw_Data!$H$2:$H$91)*(VLOOKUP(Raw_Data!$E$2:$E$91,Lookup!$A$2:$B$7,2,FALSE())=G14))</f>
        <v>848000</v>
      </c>
    </row>
    <row r="15" customFormat="false" ht="15" hidden="false" customHeight="false" outlineLevel="0" collapsed="false">
      <c r="B15" s="9" t="s">
        <v>19</v>
      </c>
      <c r="C15" s="10" t="n">
        <f aca="false">SUMIFS(Raw_Data!$H$2:$H$91,Raw_Data!$C$2:$C$91,B15)</f>
        <v>3086600</v>
      </c>
      <c r="D15" s="10" t="n">
        <f aca="false">SUMIFS(Raw_Data!$J$2:$J$91,Raw_Data!$C$2:$C$91,B15)</f>
        <v>965937</v>
      </c>
      <c r="E15" s="10" t="n">
        <f aca="false">COUNTIFS(Raw_Data!$C$2:$C$91,B15)</f>
        <v>24</v>
      </c>
    </row>
  </sheetData>
  <mergeCells count="8">
    <mergeCell ref="B6:C6"/>
    <mergeCell ref="D6:E6"/>
    <mergeCell ref="F6:G6"/>
    <mergeCell ref="H6:I6"/>
    <mergeCell ref="B7:C7"/>
    <mergeCell ref="D7:E7"/>
    <mergeCell ref="F7:G7"/>
    <mergeCell ref="H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10" min="8" style="0" width="12"/>
  </cols>
  <sheetData>
    <row r="1" customFormat="false" ht="15" hidden="false" customHeight="false" outlineLevel="0" collapsed="false">
      <c r="A1" s="7" t="s">
        <v>20</v>
      </c>
      <c r="B1" s="7" t="s">
        <v>21</v>
      </c>
      <c r="C1" s="7" t="s">
        <v>8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</row>
    <row r="2" customFormat="false" ht="15" hidden="false" customHeight="false" outlineLevel="0" collapsed="false">
      <c r="A2" s="9" t="s">
        <v>29</v>
      </c>
      <c r="B2" s="11" t="n">
        <v>45821</v>
      </c>
      <c r="C2" s="9" t="s">
        <v>13</v>
      </c>
      <c r="D2" s="9" t="s">
        <v>30</v>
      </c>
      <c r="E2" s="9" t="s">
        <v>31</v>
      </c>
      <c r="F2" s="9" t="n">
        <v>9</v>
      </c>
      <c r="G2" s="10" t="n">
        <v>2200</v>
      </c>
      <c r="H2" s="10" t="n">
        <f aca="false">F2*G2</f>
        <v>19800</v>
      </c>
      <c r="I2" s="10" t="n">
        <f aca="false">H2*VLOOKUP(E2,Lookup!$A$2:$C$7,3,FALSE())</f>
        <v>11880</v>
      </c>
      <c r="J2" s="10" t="n">
        <f aca="false">H2-I2</f>
        <v>7920</v>
      </c>
    </row>
    <row r="3" customFormat="false" ht="15" hidden="false" customHeight="false" outlineLevel="0" collapsed="false">
      <c r="A3" s="9" t="s">
        <v>32</v>
      </c>
      <c r="B3" s="11" t="n">
        <v>45720</v>
      </c>
      <c r="C3" s="9" t="s">
        <v>15</v>
      </c>
      <c r="D3" s="9" t="s">
        <v>33</v>
      </c>
      <c r="E3" s="9" t="s">
        <v>31</v>
      </c>
      <c r="F3" s="9" t="n">
        <v>4</v>
      </c>
      <c r="G3" s="10" t="n">
        <v>2200</v>
      </c>
      <c r="H3" s="10" t="n">
        <f aca="false">F3*G3</f>
        <v>8800</v>
      </c>
      <c r="I3" s="10" t="n">
        <f aca="false">H3*VLOOKUP(E3,Lookup!$A$2:$C$7,3,FALSE())</f>
        <v>5280</v>
      </c>
      <c r="J3" s="10" t="n">
        <f aca="false">H3-I3</f>
        <v>3520</v>
      </c>
    </row>
    <row r="4" customFormat="false" ht="15" hidden="false" customHeight="false" outlineLevel="0" collapsed="false">
      <c r="A4" s="9" t="s">
        <v>34</v>
      </c>
      <c r="B4" s="11" t="n">
        <v>45831</v>
      </c>
      <c r="C4" s="9" t="s">
        <v>13</v>
      </c>
      <c r="D4" s="9" t="s">
        <v>35</v>
      </c>
      <c r="E4" s="9" t="s">
        <v>36</v>
      </c>
      <c r="F4" s="9" t="n">
        <v>2</v>
      </c>
      <c r="G4" s="10" t="n">
        <v>650</v>
      </c>
      <c r="H4" s="10" t="n">
        <f aca="false">F4*G4</f>
        <v>1300</v>
      </c>
      <c r="I4" s="10" t="n">
        <f aca="false">H4*VLOOKUP(E4,Lookup!$A$2:$C$7,3,FALSE())</f>
        <v>650</v>
      </c>
      <c r="J4" s="10" t="n">
        <f aca="false">H4-I4</f>
        <v>650</v>
      </c>
    </row>
    <row r="5" customFormat="false" ht="15" hidden="false" customHeight="false" outlineLevel="0" collapsed="false">
      <c r="A5" s="9" t="s">
        <v>37</v>
      </c>
      <c r="B5" s="11" t="n">
        <v>45665</v>
      </c>
      <c r="C5" s="9" t="s">
        <v>13</v>
      </c>
      <c r="D5" s="9" t="s">
        <v>33</v>
      </c>
      <c r="E5" s="9" t="s">
        <v>38</v>
      </c>
      <c r="F5" s="9" t="n">
        <v>17</v>
      </c>
      <c r="G5" s="10" t="n">
        <v>9500</v>
      </c>
      <c r="H5" s="10" t="n">
        <f aca="false">F5*G5</f>
        <v>161500</v>
      </c>
      <c r="I5" s="10" t="n">
        <f aca="false">H5*VLOOKUP(E5,Lookup!$A$2:$C$7,3,FALSE())</f>
        <v>104975</v>
      </c>
      <c r="J5" s="10" t="n">
        <f aca="false">H5-I5</f>
        <v>56525</v>
      </c>
    </row>
    <row r="6" customFormat="false" ht="15" hidden="false" customHeight="false" outlineLevel="0" collapsed="false">
      <c r="A6" s="9" t="s">
        <v>39</v>
      </c>
      <c r="B6" s="11" t="n">
        <v>45812</v>
      </c>
      <c r="C6" s="9" t="s">
        <v>13</v>
      </c>
      <c r="D6" s="9" t="s">
        <v>35</v>
      </c>
      <c r="E6" s="9" t="s">
        <v>38</v>
      </c>
      <c r="F6" s="9" t="n">
        <v>23</v>
      </c>
      <c r="G6" s="10" t="n">
        <v>9500</v>
      </c>
      <c r="H6" s="10" t="n">
        <f aca="false">F6*G6</f>
        <v>218500</v>
      </c>
      <c r="I6" s="10" t="n">
        <f aca="false">H6*VLOOKUP(E6,Lookup!$A$2:$C$7,3,FALSE())</f>
        <v>142025</v>
      </c>
      <c r="J6" s="10" t="n">
        <f aca="false">H6-I6</f>
        <v>76475</v>
      </c>
    </row>
    <row r="7" customFormat="false" ht="15" hidden="false" customHeight="false" outlineLevel="0" collapsed="false">
      <c r="A7" s="9" t="s">
        <v>40</v>
      </c>
      <c r="B7" s="11" t="n">
        <v>45824</v>
      </c>
      <c r="C7" s="9" t="s">
        <v>19</v>
      </c>
      <c r="D7" s="9" t="s">
        <v>33</v>
      </c>
      <c r="E7" s="9" t="s">
        <v>36</v>
      </c>
      <c r="F7" s="9" t="n">
        <v>19</v>
      </c>
      <c r="G7" s="10" t="n">
        <v>650</v>
      </c>
      <c r="H7" s="10" t="n">
        <f aca="false">F7*G7</f>
        <v>12350</v>
      </c>
      <c r="I7" s="10" t="n">
        <f aca="false">H7*VLOOKUP(E7,Lookup!$A$2:$C$7,3,FALSE())</f>
        <v>6175</v>
      </c>
      <c r="J7" s="10" t="n">
        <f aca="false">H7-I7</f>
        <v>6175</v>
      </c>
    </row>
    <row r="8" customFormat="false" ht="15" hidden="false" customHeight="false" outlineLevel="0" collapsed="false">
      <c r="A8" s="9" t="s">
        <v>41</v>
      </c>
      <c r="B8" s="11" t="n">
        <v>45729</v>
      </c>
      <c r="C8" s="9" t="s">
        <v>13</v>
      </c>
      <c r="D8" s="9" t="s">
        <v>33</v>
      </c>
      <c r="E8" s="9" t="s">
        <v>31</v>
      </c>
      <c r="F8" s="9" t="n">
        <v>14</v>
      </c>
      <c r="G8" s="10" t="n">
        <v>2200</v>
      </c>
      <c r="H8" s="10" t="n">
        <f aca="false">F8*G8</f>
        <v>30800</v>
      </c>
      <c r="I8" s="10" t="n">
        <f aca="false">H8*VLOOKUP(E8,Lookup!$A$2:$C$7,3,FALSE())</f>
        <v>18480</v>
      </c>
      <c r="J8" s="10" t="n">
        <f aca="false">H8-I8</f>
        <v>12320</v>
      </c>
    </row>
    <row r="9" customFormat="false" ht="15" hidden="false" customHeight="false" outlineLevel="0" collapsed="false">
      <c r="A9" s="9" t="s">
        <v>42</v>
      </c>
      <c r="B9" s="11" t="n">
        <v>45745</v>
      </c>
      <c r="C9" s="9" t="s">
        <v>17</v>
      </c>
      <c r="D9" s="9" t="s">
        <v>33</v>
      </c>
      <c r="E9" s="9" t="s">
        <v>38</v>
      </c>
      <c r="F9" s="9" t="n">
        <v>25</v>
      </c>
      <c r="G9" s="10" t="n">
        <v>9500</v>
      </c>
      <c r="H9" s="10" t="n">
        <f aca="false">F9*G9</f>
        <v>237500</v>
      </c>
      <c r="I9" s="10" t="n">
        <f aca="false">H9*VLOOKUP(E9,Lookup!$A$2:$C$7,3,FALSE())</f>
        <v>154375</v>
      </c>
      <c r="J9" s="10" t="n">
        <f aca="false">H9-I9</f>
        <v>83125</v>
      </c>
    </row>
    <row r="10" customFormat="false" ht="15" hidden="false" customHeight="false" outlineLevel="0" collapsed="false">
      <c r="A10" s="9" t="s">
        <v>43</v>
      </c>
      <c r="B10" s="11" t="n">
        <v>45744</v>
      </c>
      <c r="C10" s="9" t="s">
        <v>13</v>
      </c>
      <c r="D10" s="9" t="s">
        <v>30</v>
      </c>
      <c r="E10" s="9" t="s">
        <v>36</v>
      </c>
      <c r="F10" s="9" t="n">
        <v>4</v>
      </c>
      <c r="G10" s="10" t="n">
        <v>650</v>
      </c>
      <c r="H10" s="10" t="n">
        <f aca="false">F10*G10</f>
        <v>2600</v>
      </c>
      <c r="I10" s="10" t="n">
        <f aca="false">H10*VLOOKUP(E10,Lookup!$A$2:$C$7,3,FALSE())</f>
        <v>1300</v>
      </c>
      <c r="J10" s="10" t="n">
        <f aca="false">H10-I10</f>
        <v>1300</v>
      </c>
    </row>
    <row r="11" customFormat="false" ht="15" hidden="false" customHeight="false" outlineLevel="0" collapsed="false">
      <c r="A11" s="9" t="s">
        <v>44</v>
      </c>
      <c r="B11" s="11" t="n">
        <v>45749</v>
      </c>
      <c r="C11" s="9" t="s">
        <v>17</v>
      </c>
      <c r="D11" s="9" t="s">
        <v>35</v>
      </c>
      <c r="E11" s="9" t="s">
        <v>45</v>
      </c>
      <c r="F11" s="9" t="n">
        <v>2</v>
      </c>
      <c r="G11" s="10" t="n">
        <v>1200</v>
      </c>
      <c r="H11" s="10" t="n">
        <f aca="false">F11*G11</f>
        <v>2400</v>
      </c>
      <c r="I11" s="10" t="n">
        <f aca="false">H11*VLOOKUP(E11,Lookup!$A$2:$C$7,3,FALSE())</f>
        <v>1320</v>
      </c>
      <c r="J11" s="10" t="n">
        <f aca="false">H11-I11</f>
        <v>1080</v>
      </c>
    </row>
    <row r="12" customFormat="false" ht="15" hidden="false" customHeight="false" outlineLevel="0" collapsed="false">
      <c r="A12" s="9" t="s">
        <v>46</v>
      </c>
      <c r="B12" s="11" t="n">
        <v>45844</v>
      </c>
      <c r="C12" s="9" t="s">
        <v>19</v>
      </c>
      <c r="D12" s="9" t="s">
        <v>35</v>
      </c>
      <c r="E12" s="9" t="s">
        <v>47</v>
      </c>
      <c r="F12" s="9" t="n">
        <v>13</v>
      </c>
      <c r="G12" s="10" t="n">
        <v>55000</v>
      </c>
      <c r="H12" s="10" t="n">
        <f aca="false">F12*G12</f>
        <v>715000</v>
      </c>
      <c r="I12" s="10" t="n">
        <f aca="false">H12*VLOOKUP(E12,Lookup!$A$2:$C$7,3,FALSE())</f>
        <v>500500</v>
      </c>
      <c r="J12" s="10" t="n">
        <f aca="false">H12-I12</f>
        <v>214500</v>
      </c>
    </row>
    <row r="13" customFormat="false" ht="15" hidden="false" customHeight="false" outlineLevel="0" collapsed="false">
      <c r="A13" s="9" t="s">
        <v>48</v>
      </c>
      <c r="B13" s="11" t="n">
        <v>45678</v>
      </c>
      <c r="C13" s="9" t="s">
        <v>17</v>
      </c>
      <c r="D13" s="9" t="s">
        <v>49</v>
      </c>
      <c r="E13" s="9" t="s">
        <v>50</v>
      </c>
      <c r="F13" s="9" t="n">
        <v>12</v>
      </c>
      <c r="G13" s="10" t="n">
        <v>4200</v>
      </c>
      <c r="H13" s="10" t="n">
        <f aca="false">F13*G13</f>
        <v>50400</v>
      </c>
      <c r="I13" s="10" t="n">
        <f aca="false">H13*VLOOKUP(E13,Lookup!$A$2:$C$7,3,FALSE())</f>
        <v>34272</v>
      </c>
      <c r="J13" s="10" t="n">
        <f aca="false">H13-I13</f>
        <v>16128</v>
      </c>
    </row>
    <row r="14" customFormat="false" ht="15" hidden="false" customHeight="false" outlineLevel="0" collapsed="false">
      <c r="A14" s="9" t="s">
        <v>51</v>
      </c>
      <c r="B14" s="11" t="n">
        <v>45805</v>
      </c>
      <c r="C14" s="9" t="s">
        <v>15</v>
      </c>
      <c r="D14" s="9" t="s">
        <v>49</v>
      </c>
      <c r="E14" s="9" t="s">
        <v>47</v>
      </c>
      <c r="F14" s="9" t="n">
        <v>2</v>
      </c>
      <c r="G14" s="10" t="n">
        <v>55000</v>
      </c>
      <c r="H14" s="10" t="n">
        <f aca="false">F14*G14</f>
        <v>110000</v>
      </c>
      <c r="I14" s="10" t="n">
        <f aca="false">H14*VLOOKUP(E14,Lookup!$A$2:$C$7,3,FALSE())</f>
        <v>77000</v>
      </c>
      <c r="J14" s="10" t="n">
        <f aca="false">H14-I14</f>
        <v>33000</v>
      </c>
    </row>
    <row r="15" customFormat="false" ht="15" hidden="false" customHeight="false" outlineLevel="0" collapsed="false">
      <c r="A15" s="9" t="s">
        <v>52</v>
      </c>
      <c r="B15" s="11" t="n">
        <v>45827</v>
      </c>
      <c r="C15" s="9" t="s">
        <v>15</v>
      </c>
      <c r="D15" s="9" t="s">
        <v>53</v>
      </c>
      <c r="E15" s="9" t="s">
        <v>47</v>
      </c>
      <c r="F15" s="9" t="n">
        <v>8</v>
      </c>
      <c r="G15" s="10" t="n">
        <v>55000</v>
      </c>
      <c r="H15" s="10" t="n">
        <f aca="false">F15*G15</f>
        <v>440000</v>
      </c>
      <c r="I15" s="10" t="n">
        <f aca="false">H15*VLOOKUP(E15,Lookup!$A$2:$C$7,3,FALSE())</f>
        <v>308000</v>
      </c>
      <c r="J15" s="10" t="n">
        <f aca="false">H15-I15</f>
        <v>132000</v>
      </c>
    </row>
    <row r="16" customFormat="false" ht="15" hidden="false" customHeight="false" outlineLevel="0" collapsed="false">
      <c r="A16" s="9" t="s">
        <v>54</v>
      </c>
      <c r="B16" s="11" t="n">
        <v>45683</v>
      </c>
      <c r="C16" s="9" t="s">
        <v>19</v>
      </c>
      <c r="D16" s="9" t="s">
        <v>53</v>
      </c>
      <c r="E16" s="9" t="s">
        <v>36</v>
      </c>
      <c r="F16" s="9" t="n">
        <v>21</v>
      </c>
      <c r="G16" s="10" t="n">
        <v>650</v>
      </c>
      <c r="H16" s="10" t="n">
        <f aca="false">F16*G16</f>
        <v>13650</v>
      </c>
      <c r="I16" s="10" t="n">
        <f aca="false">H16*VLOOKUP(E16,Lookup!$A$2:$C$7,3,FALSE())</f>
        <v>6825</v>
      </c>
      <c r="J16" s="10" t="n">
        <f aca="false">H16-I16</f>
        <v>6825</v>
      </c>
    </row>
    <row r="17" customFormat="false" ht="15" hidden="false" customHeight="false" outlineLevel="0" collapsed="false">
      <c r="A17" s="9" t="s">
        <v>55</v>
      </c>
      <c r="B17" s="11" t="n">
        <v>45751</v>
      </c>
      <c r="C17" s="9" t="s">
        <v>15</v>
      </c>
      <c r="D17" s="9" t="s">
        <v>53</v>
      </c>
      <c r="E17" s="9" t="s">
        <v>45</v>
      </c>
      <c r="F17" s="9" t="n">
        <v>7</v>
      </c>
      <c r="G17" s="10" t="n">
        <v>1200</v>
      </c>
      <c r="H17" s="10" t="n">
        <f aca="false">F17*G17</f>
        <v>8400</v>
      </c>
      <c r="I17" s="10" t="n">
        <f aca="false">H17*VLOOKUP(E17,Lookup!$A$2:$C$7,3,FALSE())</f>
        <v>4620</v>
      </c>
      <c r="J17" s="10" t="n">
        <f aca="false">H17-I17</f>
        <v>3780</v>
      </c>
    </row>
    <row r="18" customFormat="false" ht="15" hidden="false" customHeight="false" outlineLevel="0" collapsed="false">
      <c r="A18" s="9" t="s">
        <v>56</v>
      </c>
      <c r="B18" s="11" t="n">
        <v>45829</v>
      </c>
      <c r="C18" s="9" t="s">
        <v>17</v>
      </c>
      <c r="D18" s="9" t="s">
        <v>49</v>
      </c>
      <c r="E18" s="9" t="s">
        <v>31</v>
      </c>
      <c r="F18" s="9" t="n">
        <v>21</v>
      </c>
      <c r="G18" s="10" t="n">
        <v>2200</v>
      </c>
      <c r="H18" s="10" t="n">
        <f aca="false">F18*G18</f>
        <v>46200</v>
      </c>
      <c r="I18" s="10" t="n">
        <f aca="false">H18*VLOOKUP(E18,Lookup!$A$2:$C$7,3,FALSE())</f>
        <v>27720</v>
      </c>
      <c r="J18" s="10" t="n">
        <f aca="false">H18-I18</f>
        <v>18480</v>
      </c>
    </row>
    <row r="19" customFormat="false" ht="15" hidden="false" customHeight="false" outlineLevel="0" collapsed="false">
      <c r="A19" s="9" t="s">
        <v>57</v>
      </c>
      <c r="B19" s="11" t="n">
        <v>45676</v>
      </c>
      <c r="C19" s="9" t="s">
        <v>15</v>
      </c>
      <c r="D19" s="9" t="s">
        <v>35</v>
      </c>
      <c r="E19" s="9" t="s">
        <v>31</v>
      </c>
      <c r="F19" s="9" t="n">
        <v>8</v>
      </c>
      <c r="G19" s="10" t="n">
        <v>2200</v>
      </c>
      <c r="H19" s="10" t="n">
        <f aca="false">F19*G19</f>
        <v>17600</v>
      </c>
      <c r="I19" s="10" t="n">
        <f aca="false">H19*VLOOKUP(E19,Lookup!$A$2:$C$7,3,FALSE())</f>
        <v>10560</v>
      </c>
      <c r="J19" s="10" t="n">
        <f aca="false">H19-I19</f>
        <v>7040</v>
      </c>
    </row>
    <row r="20" customFormat="false" ht="15" hidden="false" customHeight="false" outlineLevel="0" collapsed="false">
      <c r="A20" s="9" t="s">
        <v>58</v>
      </c>
      <c r="B20" s="11" t="n">
        <v>45699</v>
      </c>
      <c r="C20" s="9" t="s">
        <v>19</v>
      </c>
      <c r="D20" s="9" t="s">
        <v>59</v>
      </c>
      <c r="E20" s="9" t="s">
        <v>45</v>
      </c>
      <c r="F20" s="9" t="n">
        <v>21</v>
      </c>
      <c r="G20" s="10" t="n">
        <v>1200</v>
      </c>
      <c r="H20" s="10" t="n">
        <f aca="false">F20*G20</f>
        <v>25200</v>
      </c>
      <c r="I20" s="10" t="n">
        <f aca="false">H20*VLOOKUP(E20,Lookup!$A$2:$C$7,3,FALSE())</f>
        <v>13860</v>
      </c>
      <c r="J20" s="10" t="n">
        <f aca="false">H20-I20</f>
        <v>11340</v>
      </c>
    </row>
    <row r="21" customFormat="false" ht="15" hidden="false" customHeight="false" outlineLevel="0" collapsed="false">
      <c r="A21" s="9" t="s">
        <v>60</v>
      </c>
      <c r="B21" s="11" t="n">
        <v>45834</v>
      </c>
      <c r="C21" s="9" t="s">
        <v>15</v>
      </c>
      <c r="D21" s="9" t="s">
        <v>49</v>
      </c>
      <c r="E21" s="9" t="s">
        <v>45</v>
      </c>
      <c r="F21" s="9" t="n">
        <v>25</v>
      </c>
      <c r="G21" s="10" t="n">
        <v>1200</v>
      </c>
      <c r="H21" s="10" t="n">
        <f aca="false">F21*G21</f>
        <v>30000</v>
      </c>
      <c r="I21" s="10" t="n">
        <f aca="false">H21*VLOOKUP(E21,Lookup!$A$2:$C$7,3,FALSE())</f>
        <v>16500</v>
      </c>
      <c r="J21" s="10" t="n">
        <f aca="false">H21-I21</f>
        <v>13500</v>
      </c>
    </row>
    <row r="22" customFormat="false" ht="15" hidden="false" customHeight="false" outlineLevel="0" collapsed="false">
      <c r="A22" s="9" t="s">
        <v>61</v>
      </c>
      <c r="B22" s="11" t="n">
        <v>45856</v>
      </c>
      <c r="C22" s="9" t="s">
        <v>13</v>
      </c>
      <c r="D22" s="9" t="s">
        <v>33</v>
      </c>
      <c r="E22" s="9" t="s">
        <v>47</v>
      </c>
      <c r="F22" s="9" t="n">
        <v>11</v>
      </c>
      <c r="G22" s="10" t="n">
        <v>55000</v>
      </c>
      <c r="H22" s="10" t="n">
        <f aca="false">F22*G22</f>
        <v>605000</v>
      </c>
      <c r="I22" s="10" t="n">
        <f aca="false">H22*VLOOKUP(E22,Lookup!$A$2:$C$7,3,FALSE())</f>
        <v>423500</v>
      </c>
      <c r="J22" s="10" t="n">
        <f aca="false">H22-I22</f>
        <v>181500</v>
      </c>
    </row>
    <row r="23" customFormat="false" ht="15" hidden="false" customHeight="false" outlineLevel="0" collapsed="false">
      <c r="A23" s="9" t="s">
        <v>62</v>
      </c>
      <c r="B23" s="11" t="n">
        <v>45760</v>
      </c>
      <c r="C23" s="9" t="s">
        <v>17</v>
      </c>
      <c r="D23" s="9" t="s">
        <v>30</v>
      </c>
      <c r="E23" s="9" t="s">
        <v>38</v>
      </c>
      <c r="F23" s="9" t="n">
        <v>19</v>
      </c>
      <c r="G23" s="10" t="n">
        <v>9500</v>
      </c>
      <c r="H23" s="10" t="n">
        <f aca="false">F23*G23</f>
        <v>180500</v>
      </c>
      <c r="I23" s="10" t="n">
        <f aca="false">H23*VLOOKUP(E23,Lookup!$A$2:$C$7,3,FALSE())</f>
        <v>117325</v>
      </c>
      <c r="J23" s="10" t="n">
        <f aca="false">H23-I23</f>
        <v>63175</v>
      </c>
    </row>
    <row r="24" customFormat="false" ht="15" hidden="false" customHeight="false" outlineLevel="0" collapsed="false">
      <c r="A24" s="9" t="s">
        <v>63</v>
      </c>
      <c r="B24" s="11" t="n">
        <v>45841</v>
      </c>
      <c r="C24" s="9" t="s">
        <v>17</v>
      </c>
      <c r="D24" s="9" t="s">
        <v>33</v>
      </c>
      <c r="E24" s="9" t="s">
        <v>31</v>
      </c>
      <c r="F24" s="9" t="n">
        <v>16</v>
      </c>
      <c r="G24" s="10" t="n">
        <v>2200</v>
      </c>
      <c r="H24" s="10" t="n">
        <f aca="false">F24*G24</f>
        <v>35200</v>
      </c>
      <c r="I24" s="10" t="n">
        <f aca="false">H24*VLOOKUP(E24,Lookup!$A$2:$C$7,3,FALSE())</f>
        <v>21120</v>
      </c>
      <c r="J24" s="10" t="n">
        <f aca="false">H24-I24</f>
        <v>14080</v>
      </c>
    </row>
    <row r="25" customFormat="false" ht="15" hidden="false" customHeight="false" outlineLevel="0" collapsed="false">
      <c r="A25" s="9" t="s">
        <v>64</v>
      </c>
      <c r="B25" s="11" t="n">
        <v>45759</v>
      </c>
      <c r="C25" s="9" t="s">
        <v>19</v>
      </c>
      <c r="D25" s="9" t="s">
        <v>33</v>
      </c>
      <c r="E25" s="9" t="s">
        <v>45</v>
      </c>
      <c r="F25" s="9" t="n">
        <v>5</v>
      </c>
      <c r="G25" s="10" t="n">
        <v>1200</v>
      </c>
      <c r="H25" s="10" t="n">
        <f aca="false">F25*G25</f>
        <v>6000</v>
      </c>
      <c r="I25" s="10" t="n">
        <f aca="false">H25*VLOOKUP(E25,Lookup!$A$2:$C$7,3,FALSE())</f>
        <v>3300</v>
      </c>
      <c r="J25" s="10" t="n">
        <f aca="false">H25-I25</f>
        <v>2700</v>
      </c>
    </row>
    <row r="26" customFormat="false" ht="15" hidden="false" customHeight="false" outlineLevel="0" collapsed="false">
      <c r="A26" s="9" t="s">
        <v>65</v>
      </c>
      <c r="B26" s="11" t="n">
        <v>45721</v>
      </c>
      <c r="C26" s="9" t="s">
        <v>17</v>
      </c>
      <c r="D26" s="9" t="s">
        <v>49</v>
      </c>
      <c r="E26" s="9" t="s">
        <v>50</v>
      </c>
      <c r="F26" s="9" t="n">
        <v>14</v>
      </c>
      <c r="G26" s="10" t="n">
        <v>4200</v>
      </c>
      <c r="H26" s="10" t="n">
        <f aca="false">F26*G26</f>
        <v>58800</v>
      </c>
      <c r="I26" s="10" t="n">
        <f aca="false">H26*VLOOKUP(E26,Lookup!$A$2:$C$7,3,FALSE())</f>
        <v>39984</v>
      </c>
      <c r="J26" s="10" t="n">
        <f aca="false">H26-I26</f>
        <v>18816</v>
      </c>
    </row>
    <row r="27" customFormat="false" ht="15" hidden="false" customHeight="false" outlineLevel="0" collapsed="false">
      <c r="A27" s="9" t="s">
        <v>66</v>
      </c>
      <c r="B27" s="11" t="n">
        <v>45807</v>
      </c>
      <c r="C27" s="9" t="s">
        <v>19</v>
      </c>
      <c r="D27" s="9" t="s">
        <v>53</v>
      </c>
      <c r="E27" s="9" t="s">
        <v>38</v>
      </c>
      <c r="F27" s="9" t="n">
        <v>5</v>
      </c>
      <c r="G27" s="10" t="n">
        <v>9500</v>
      </c>
      <c r="H27" s="10" t="n">
        <f aca="false">F27*G27</f>
        <v>47500</v>
      </c>
      <c r="I27" s="10" t="n">
        <f aca="false">H27*VLOOKUP(E27,Lookup!$A$2:$C$7,3,FALSE())</f>
        <v>30875</v>
      </c>
      <c r="J27" s="10" t="n">
        <f aca="false">H27-I27</f>
        <v>16625</v>
      </c>
    </row>
    <row r="28" customFormat="false" ht="15" hidden="false" customHeight="false" outlineLevel="0" collapsed="false">
      <c r="A28" s="9" t="s">
        <v>67</v>
      </c>
      <c r="B28" s="11" t="n">
        <v>45788</v>
      </c>
      <c r="C28" s="9" t="s">
        <v>19</v>
      </c>
      <c r="D28" s="9" t="s">
        <v>30</v>
      </c>
      <c r="E28" s="9" t="s">
        <v>47</v>
      </c>
      <c r="F28" s="9" t="n">
        <v>4</v>
      </c>
      <c r="G28" s="10" t="n">
        <v>55000</v>
      </c>
      <c r="H28" s="10" t="n">
        <f aca="false">F28*G28</f>
        <v>220000</v>
      </c>
      <c r="I28" s="10" t="n">
        <f aca="false">H28*VLOOKUP(E28,Lookup!$A$2:$C$7,3,FALSE())</f>
        <v>154000</v>
      </c>
      <c r="J28" s="10" t="n">
        <f aca="false">H28-I28</f>
        <v>66000</v>
      </c>
    </row>
    <row r="29" customFormat="false" ht="15" hidden="false" customHeight="false" outlineLevel="0" collapsed="false">
      <c r="A29" s="9" t="s">
        <v>68</v>
      </c>
      <c r="B29" s="11" t="n">
        <v>45697</v>
      </c>
      <c r="C29" s="9" t="s">
        <v>15</v>
      </c>
      <c r="D29" s="9" t="s">
        <v>49</v>
      </c>
      <c r="E29" s="9" t="s">
        <v>36</v>
      </c>
      <c r="F29" s="9" t="n">
        <v>20</v>
      </c>
      <c r="G29" s="10" t="n">
        <v>650</v>
      </c>
      <c r="H29" s="10" t="n">
        <f aca="false">F29*G29</f>
        <v>13000</v>
      </c>
      <c r="I29" s="10" t="n">
        <f aca="false">H29*VLOOKUP(E29,Lookup!$A$2:$C$7,3,FALSE())</f>
        <v>6500</v>
      </c>
      <c r="J29" s="10" t="n">
        <f aca="false">H29-I29</f>
        <v>6500</v>
      </c>
    </row>
    <row r="30" customFormat="false" ht="15" hidden="false" customHeight="false" outlineLevel="0" collapsed="false">
      <c r="A30" s="9" t="s">
        <v>69</v>
      </c>
      <c r="B30" s="11" t="n">
        <v>45674</v>
      </c>
      <c r="C30" s="9" t="s">
        <v>19</v>
      </c>
      <c r="D30" s="9" t="s">
        <v>59</v>
      </c>
      <c r="E30" s="9" t="s">
        <v>50</v>
      </c>
      <c r="F30" s="9" t="n">
        <v>15</v>
      </c>
      <c r="G30" s="10" t="n">
        <v>4200</v>
      </c>
      <c r="H30" s="10" t="n">
        <f aca="false">F30*G30</f>
        <v>63000</v>
      </c>
      <c r="I30" s="10" t="n">
        <f aca="false">H30*VLOOKUP(E30,Lookup!$A$2:$C$7,3,FALSE())</f>
        <v>42840</v>
      </c>
      <c r="J30" s="10" t="n">
        <f aca="false">H30-I30</f>
        <v>20160</v>
      </c>
    </row>
    <row r="31" customFormat="false" ht="15" hidden="false" customHeight="false" outlineLevel="0" collapsed="false">
      <c r="A31" s="9" t="s">
        <v>70</v>
      </c>
      <c r="B31" s="11" t="n">
        <v>45793</v>
      </c>
      <c r="C31" s="9" t="s">
        <v>17</v>
      </c>
      <c r="D31" s="9" t="s">
        <v>35</v>
      </c>
      <c r="E31" s="9" t="s">
        <v>47</v>
      </c>
      <c r="F31" s="9" t="n">
        <v>22</v>
      </c>
      <c r="G31" s="10" t="n">
        <v>55000</v>
      </c>
      <c r="H31" s="10" t="n">
        <f aca="false">F31*G31</f>
        <v>1210000</v>
      </c>
      <c r="I31" s="10" t="n">
        <f aca="false">H31*VLOOKUP(E31,Lookup!$A$2:$C$7,3,FALSE())</f>
        <v>847000</v>
      </c>
      <c r="J31" s="10" t="n">
        <f aca="false">H31-I31</f>
        <v>363000</v>
      </c>
    </row>
    <row r="32" customFormat="false" ht="15" hidden="false" customHeight="false" outlineLevel="0" collapsed="false">
      <c r="A32" s="9" t="s">
        <v>71</v>
      </c>
      <c r="B32" s="11" t="n">
        <v>45842</v>
      </c>
      <c r="C32" s="9" t="s">
        <v>13</v>
      </c>
      <c r="D32" s="9" t="s">
        <v>49</v>
      </c>
      <c r="E32" s="9" t="s">
        <v>50</v>
      </c>
      <c r="F32" s="9" t="n">
        <v>25</v>
      </c>
      <c r="G32" s="10" t="n">
        <v>4200</v>
      </c>
      <c r="H32" s="10" t="n">
        <f aca="false">F32*G32</f>
        <v>105000</v>
      </c>
      <c r="I32" s="10" t="n">
        <f aca="false">H32*VLOOKUP(E32,Lookup!$A$2:$C$7,3,FALSE())</f>
        <v>71400</v>
      </c>
      <c r="J32" s="10" t="n">
        <f aca="false">H32-I32</f>
        <v>33600</v>
      </c>
    </row>
    <row r="33" customFormat="false" ht="15" hidden="false" customHeight="false" outlineLevel="0" collapsed="false">
      <c r="A33" s="9" t="s">
        <v>72</v>
      </c>
      <c r="B33" s="11" t="n">
        <v>45726</v>
      </c>
      <c r="C33" s="9" t="s">
        <v>17</v>
      </c>
      <c r="D33" s="9" t="s">
        <v>30</v>
      </c>
      <c r="E33" s="9" t="s">
        <v>45</v>
      </c>
      <c r="F33" s="9" t="n">
        <v>14</v>
      </c>
      <c r="G33" s="10" t="n">
        <v>1200</v>
      </c>
      <c r="H33" s="10" t="n">
        <f aca="false">F33*G33</f>
        <v>16800</v>
      </c>
      <c r="I33" s="10" t="n">
        <f aca="false">H33*VLOOKUP(E33,Lookup!$A$2:$C$7,3,FALSE())</f>
        <v>9240</v>
      </c>
      <c r="J33" s="10" t="n">
        <f aca="false">H33-I33</f>
        <v>7560</v>
      </c>
    </row>
    <row r="34" customFormat="false" ht="15" hidden="false" customHeight="false" outlineLevel="0" collapsed="false">
      <c r="A34" s="9" t="s">
        <v>73</v>
      </c>
      <c r="B34" s="11" t="n">
        <v>45698</v>
      </c>
      <c r="C34" s="9" t="s">
        <v>19</v>
      </c>
      <c r="D34" s="9" t="s">
        <v>30</v>
      </c>
      <c r="E34" s="9" t="s">
        <v>31</v>
      </c>
      <c r="F34" s="9" t="n">
        <v>24</v>
      </c>
      <c r="G34" s="10" t="n">
        <v>2200</v>
      </c>
      <c r="H34" s="10" t="n">
        <f aca="false">F34*G34</f>
        <v>52800</v>
      </c>
      <c r="I34" s="10" t="n">
        <f aca="false">H34*VLOOKUP(E34,Lookup!$A$2:$C$7,3,FALSE())</f>
        <v>31680</v>
      </c>
      <c r="J34" s="10" t="n">
        <f aca="false">H34-I34</f>
        <v>21120</v>
      </c>
    </row>
    <row r="35" customFormat="false" ht="15" hidden="false" customHeight="false" outlineLevel="0" collapsed="false">
      <c r="A35" s="9" t="s">
        <v>74</v>
      </c>
      <c r="B35" s="11" t="n">
        <v>45725</v>
      </c>
      <c r="C35" s="9" t="s">
        <v>15</v>
      </c>
      <c r="D35" s="9" t="s">
        <v>35</v>
      </c>
      <c r="E35" s="9" t="s">
        <v>47</v>
      </c>
      <c r="F35" s="9" t="n">
        <v>21</v>
      </c>
      <c r="G35" s="10" t="n">
        <v>55000</v>
      </c>
      <c r="H35" s="10" t="n">
        <f aca="false">F35*G35</f>
        <v>1155000</v>
      </c>
      <c r="I35" s="10" t="n">
        <f aca="false">H35*VLOOKUP(E35,Lookup!$A$2:$C$7,3,FALSE())</f>
        <v>808500</v>
      </c>
      <c r="J35" s="10" t="n">
        <f aca="false">H35-I35</f>
        <v>346500</v>
      </c>
    </row>
    <row r="36" customFormat="false" ht="15" hidden="false" customHeight="false" outlineLevel="0" collapsed="false">
      <c r="A36" s="9" t="s">
        <v>75</v>
      </c>
      <c r="B36" s="11" t="n">
        <v>45734</v>
      </c>
      <c r="C36" s="9" t="s">
        <v>15</v>
      </c>
      <c r="D36" s="9" t="s">
        <v>33</v>
      </c>
      <c r="E36" s="9" t="s">
        <v>45</v>
      </c>
      <c r="F36" s="9" t="n">
        <v>25</v>
      </c>
      <c r="G36" s="10" t="n">
        <v>1200</v>
      </c>
      <c r="H36" s="10" t="n">
        <f aca="false">F36*G36</f>
        <v>30000</v>
      </c>
      <c r="I36" s="10" t="n">
        <f aca="false">H36*VLOOKUP(E36,Lookup!$A$2:$C$7,3,FALSE())</f>
        <v>16500</v>
      </c>
      <c r="J36" s="10" t="n">
        <f aca="false">H36-I36</f>
        <v>13500</v>
      </c>
    </row>
    <row r="37" customFormat="false" ht="15" hidden="false" customHeight="false" outlineLevel="0" collapsed="false">
      <c r="A37" s="9" t="s">
        <v>76</v>
      </c>
      <c r="B37" s="11" t="n">
        <v>45699</v>
      </c>
      <c r="C37" s="9" t="s">
        <v>13</v>
      </c>
      <c r="D37" s="9" t="s">
        <v>35</v>
      </c>
      <c r="E37" s="9" t="s">
        <v>45</v>
      </c>
      <c r="F37" s="9" t="n">
        <v>16</v>
      </c>
      <c r="G37" s="10" t="n">
        <v>1200</v>
      </c>
      <c r="H37" s="10" t="n">
        <f aca="false">F37*G37</f>
        <v>19200</v>
      </c>
      <c r="I37" s="10" t="n">
        <f aca="false">H37*VLOOKUP(E37,Lookup!$A$2:$C$7,3,FALSE())</f>
        <v>10560</v>
      </c>
      <c r="J37" s="10" t="n">
        <f aca="false">H37-I37</f>
        <v>8640</v>
      </c>
    </row>
    <row r="38" customFormat="false" ht="15" hidden="false" customHeight="false" outlineLevel="0" collapsed="false">
      <c r="A38" s="9" t="s">
        <v>77</v>
      </c>
      <c r="B38" s="11" t="n">
        <v>45662</v>
      </c>
      <c r="C38" s="9" t="s">
        <v>13</v>
      </c>
      <c r="D38" s="9" t="s">
        <v>53</v>
      </c>
      <c r="E38" s="9" t="s">
        <v>45</v>
      </c>
      <c r="F38" s="9" t="n">
        <v>8</v>
      </c>
      <c r="G38" s="10" t="n">
        <v>1200</v>
      </c>
      <c r="H38" s="10" t="n">
        <f aca="false">F38*G38</f>
        <v>9600</v>
      </c>
      <c r="I38" s="10" t="n">
        <f aca="false">H38*VLOOKUP(E38,Lookup!$A$2:$C$7,3,FALSE())</f>
        <v>5280</v>
      </c>
      <c r="J38" s="10" t="n">
        <f aca="false">H38-I38</f>
        <v>4320</v>
      </c>
    </row>
    <row r="39" customFormat="false" ht="15" hidden="false" customHeight="false" outlineLevel="0" collapsed="false">
      <c r="A39" s="9" t="s">
        <v>78</v>
      </c>
      <c r="B39" s="11" t="n">
        <v>45672</v>
      </c>
      <c r="C39" s="9" t="s">
        <v>15</v>
      </c>
      <c r="D39" s="9" t="s">
        <v>35</v>
      </c>
      <c r="E39" s="9" t="s">
        <v>47</v>
      </c>
      <c r="F39" s="9" t="n">
        <v>3</v>
      </c>
      <c r="G39" s="10" t="n">
        <v>55000</v>
      </c>
      <c r="H39" s="10" t="n">
        <f aca="false">F39*G39</f>
        <v>165000</v>
      </c>
      <c r="I39" s="10" t="n">
        <f aca="false">H39*VLOOKUP(E39,Lookup!$A$2:$C$7,3,FALSE())</f>
        <v>115500</v>
      </c>
      <c r="J39" s="10" t="n">
        <f aca="false">H39-I39</f>
        <v>49500</v>
      </c>
    </row>
    <row r="40" customFormat="false" ht="15" hidden="false" customHeight="false" outlineLevel="0" collapsed="false">
      <c r="A40" s="9" t="s">
        <v>79</v>
      </c>
      <c r="B40" s="11" t="n">
        <v>45845</v>
      </c>
      <c r="C40" s="9" t="s">
        <v>19</v>
      </c>
      <c r="D40" s="9" t="s">
        <v>30</v>
      </c>
      <c r="E40" s="9" t="s">
        <v>50</v>
      </c>
      <c r="F40" s="9" t="n">
        <v>25</v>
      </c>
      <c r="G40" s="10" t="n">
        <v>4200</v>
      </c>
      <c r="H40" s="10" t="n">
        <f aca="false">F40*G40</f>
        <v>105000</v>
      </c>
      <c r="I40" s="10" t="n">
        <f aca="false">H40*VLOOKUP(E40,Lookup!$A$2:$C$7,3,FALSE())</f>
        <v>71400</v>
      </c>
      <c r="J40" s="10" t="n">
        <f aca="false">H40-I40</f>
        <v>33600</v>
      </c>
    </row>
    <row r="41" customFormat="false" ht="15" hidden="false" customHeight="false" outlineLevel="0" collapsed="false">
      <c r="A41" s="9" t="s">
        <v>80</v>
      </c>
      <c r="B41" s="11" t="n">
        <v>45690</v>
      </c>
      <c r="C41" s="9" t="s">
        <v>15</v>
      </c>
      <c r="D41" s="9" t="s">
        <v>49</v>
      </c>
      <c r="E41" s="9" t="s">
        <v>36</v>
      </c>
      <c r="F41" s="9" t="n">
        <v>18</v>
      </c>
      <c r="G41" s="10" t="n">
        <v>650</v>
      </c>
      <c r="H41" s="10" t="n">
        <f aca="false">F41*G41</f>
        <v>11700</v>
      </c>
      <c r="I41" s="10" t="n">
        <f aca="false">H41*VLOOKUP(E41,Lookup!$A$2:$C$7,3,FALSE())</f>
        <v>5850</v>
      </c>
      <c r="J41" s="10" t="n">
        <f aca="false">H41-I41</f>
        <v>5850</v>
      </c>
    </row>
    <row r="42" customFormat="false" ht="15" hidden="false" customHeight="false" outlineLevel="0" collapsed="false">
      <c r="A42" s="9" t="s">
        <v>81</v>
      </c>
      <c r="B42" s="11" t="n">
        <v>45700</v>
      </c>
      <c r="C42" s="9" t="s">
        <v>17</v>
      </c>
      <c r="D42" s="9" t="s">
        <v>35</v>
      </c>
      <c r="E42" s="9" t="s">
        <v>50</v>
      </c>
      <c r="F42" s="9" t="n">
        <v>14</v>
      </c>
      <c r="G42" s="10" t="n">
        <v>4200</v>
      </c>
      <c r="H42" s="10" t="n">
        <f aca="false">F42*G42</f>
        <v>58800</v>
      </c>
      <c r="I42" s="10" t="n">
        <f aca="false">H42*VLOOKUP(E42,Lookup!$A$2:$C$7,3,FALSE())</f>
        <v>39984</v>
      </c>
      <c r="J42" s="10" t="n">
        <f aca="false">H42-I42</f>
        <v>18816</v>
      </c>
    </row>
    <row r="43" customFormat="false" ht="15" hidden="false" customHeight="false" outlineLevel="0" collapsed="false">
      <c r="A43" s="9" t="s">
        <v>82</v>
      </c>
      <c r="B43" s="11" t="n">
        <v>45712</v>
      </c>
      <c r="C43" s="9" t="s">
        <v>15</v>
      </c>
      <c r="D43" s="9" t="s">
        <v>49</v>
      </c>
      <c r="E43" s="9" t="s">
        <v>45</v>
      </c>
      <c r="F43" s="9" t="n">
        <v>13</v>
      </c>
      <c r="G43" s="10" t="n">
        <v>1200</v>
      </c>
      <c r="H43" s="10" t="n">
        <f aca="false">F43*G43</f>
        <v>15600</v>
      </c>
      <c r="I43" s="10" t="n">
        <f aca="false">H43*VLOOKUP(E43,Lookup!$A$2:$C$7,3,FALSE())</f>
        <v>8580</v>
      </c>
      <c r="J43" s="10" t="n">
        <f aca="false">H43-I43</f>
        <v>7020</v>
      </c>
    </row>
    <row r="44" customFormat="false" ht="15" hidden="false" customHeight="false" outlineLevel="0" collapsed="false">
      <c r="A44" s="9" t="s">
        <v>83</v>
      </c>
      <c r="B44" s="11" t="n">
        <v>45829</v>
      </c>
      <c r="C44" s="9" t="s">
        <v>17</v>
      </c>
      <c r="D44" s="9" t="s">
        <v>59</v>
      </c>
      <c r="E44" s="9" t="s">
        <v>50</v>
      </c>
      <c r="F44" s="9" t="n">
        <v>15</v>
      </c>
      <c r="G44" s="10" t="n">
        <v>4200</v>
      </c>
      <c r="H44" s="10" t="n">
        <f aca="false">F44*G44</f>
        <v>63000</v>
      </c>
      <c r="I44" s="10" t="n">
        <f aca="false">H44*VLOOKUP(E44,Lookup!$A$2:$C$7,3,FALSE())</f>
        <v>42840</v>
      </c>
      <c r="J44" s="10" t="n">
        <f aca="false">H44-I44</f>
        <v>20160</v>
      </c>
    </row>
    <row r="45" customFormat="false" ht="15" hidden="false" customHeight="false" outlineLevel="0" collapsed="false">
      <c r="A45" s="9" t="s">
        <v>84</v>
      </c>
      <c r="B45" s="11" t="n">
        <v>45688</v>
      </c>
      <c r="C45" s="9" t="s">
        <v>15</v>
      </c>
      <c r="D45" s="9" t="s">
        <v>33</v>
      </c>
      <c r="E45" s="9" t="s">
        <v>47</v>
      </c>
      <c r="F45" s="9" t="n">
        <v>11</v>
      </c>
      <c r="G45" s="10" t="n">
        <v>55000</v>
      </c>
      <c r="H45" s="10" t="n">
        <f aca="false">F45*G45</f>
        <v>605000</v>
      </c>
      <c r="I45" s="10" t="n">
        <f aca="false">H45*VLOOKUP(E45,Lookup!$A$2:$C$7,3,FALSE())</f>
        <v>423500</v>
      </c>
      <c r="J45" s="10" t="n">
        <f aca="false">H45-I45</f>
        <v>181500</v>
      </c>
    </row>
    <row r="46" customFormat="false" ht="15" hidden="false" customHeight="false" outlineLevel="0" collapsed="false">
      <c r="A46" s="9" t="s">
        <v>85</v>
      </c>
      <c r="B46" s="11" t="n">
        <v>45663</v>
      </c>
      <c r="C46" s="9" t="s">
        <v>15</v>
      </c>
      <c r="D46" s="9" t="s">
        <v>35</v>
      </c>
      <c r="E46" s="9" t="s">
        <v>38</v>
      </c>
      <c r="F46" s="9" t="n">
        <v>1</v>
      </c>
      <c r="G46" s="10" t="n">
        <v>9500</v>
      </c>
      <c r="H46" s="10" t="n">
        <f aca="false">F46*G46</f>
        <v>9500</v>
      </c>
      <c r="I46" s="10" t="n">
        <f aca="false">H46*VLOOKUP(E46,Lookup!$A$2:$C$7,3,FALSE())</f>
        <v>6175</v>
      </c>
      <c r="J46" s="10" t="n">
        <f aca="false">H46-I46</f>
        <v>3325</v>
      </c>
    </row>
    <row r="47" customFormat="false" ht="15" hidden="false" customHeight="false" outlineLevel="0" collapsed="false">
      <c r="A47" s="9" t="s">
        <v>86</v>
      </c>
      <c r="B47" s="11" t="n">
        <v>45676</v>
      </c>
      <c r="C47" s="9" t="s">
        <v>13</v>
      </c>
      <c r="D47" s="9" t="s">
        <v>33</v>
      </c>
      <c r="E47" s="9" t="s">
        <v>47</v>
      </c>
      <c r="F47" s="9" t="n">
        <v>2</v>
      </c>
      <c r="G47" s="10" t="n">
        <v>55000</v>
      </c>
      <c r="H47" s="10" t="n">
        <f aca="false">F47*G47</f>
        <v>110000</v>
      </c>
      <c r="I47" s="10" t="n">
        <f aca="false">H47*VLOOKUP(E47,Lookup!$A$2:$C$7,3,FALSE())</f>
        <v>77000</v>
      </c>
      <c r="J47" s="10" t="n">
        <f aca="false">H47-I47</f>
        <v>33000</v>
      </c>
    </row>
    <row r="48" customFormat="false" ht="15" hidden="false" customHeight="false" outlineLevel="0" collapsed="false">
      <c r="A48" s="9" t="s">
        <v>87</v>
      </c>
      <c r="B48" s="11" t="n">
        <v>45742</v>
      </c>
      <c r="C48" s="9" t="s">
        <v>13</v>
      </c>
      <c r="D48" s="9" t="s">
        <v>35</v>
      </c>
      <c r="E48" s="9" t="s">
        <v>38</v>
      </c>
      <c r="F48" s="9" t="n">
        <v>9</v>
      </c>
      <c r="G48" s="10" t="n">
        <v>9500</v>
      </c>
      <c r="H48" s="10" t="n">
        <f aca="false">F48*G48</f>
        <v>85500</v>
      </c>
      <c r="I48" s="10" t="n">
        <f aca="false">H48*VLOOKUP(E48,Lookup!$A$2:$C$7,3,FALSE())</f>
        <v>55575</v>
      </c>
      <c r="J48" s="10" t="n">
        <f aca="false">H48-I48</f>
        <v>29925</v>
      </c>
    </row>
    <row r="49" customFormat="false" ht="15" hidden="false" customHeight="false" outlineLevel="0" collapsed="false">
      <c r="A49" s="9" t="s">
        <v>88</v>
      </c>
      <c r="B49" s="11" t="n">
        <v>45829</v>
      </c>
      <c r="C49" s="9" t="s">
        <v>19</v>
      </c>
      <c r="D49" s="9" t="s">
        <v>33</v>
      </c>
      <c r="E49" s="9" t="s">
        <v>50</v>
      </c>
      <c r="F49" s="9" t="n">
        <v>5</v>
      </c>
      <c r="G49" s="10" t="n">
        <v>4200</v>
      </c>
      <c r="H49" s="10" t="n">
        <f aca="false">F49*G49</f>
        <v>21000</v>
      </c>
      <c r="I49" s="10" t="n">
        <f aca="false">H49*VLOOKUP(E49,Lookup!$A$2:$C$7,3,FALSE())</f>
        <v>14280</v>
      </c>
      <c r="J49" s="10" t="n">
        <f aca="false">H49-I49</f>
        <v>6720</v>
      </c>
    </row>
    <row r="50" customFormat="false" ht="15" hidden="false" customHeight="false" outlineLevel="0" collapsed="false">
      <c r="A50" s="9" t="s">
        <v>89</v>
      </c>
      <c r="B50" s="11" t="n">
        <v>45843</v>
      </c>
      <c r="C50" s="9" t="s">
        <v>19</v>
      </c>
      <c r="D50" s="9" t="s">
        <v>33</v>
      </c>
      <c r="E50" s="9" t="s">
        <v>36</v>
      </c>
      <c r="F50" s="9" t="n">
        <v>14</v>
      </c>
      <c r="G50" s="10" t="n">
        <v>650</v>
      </c>
      <c r="H50" s="10" t="n">
        <f aca="false">F50*G50</f>
        <v>9100</v>
      </c>
      <c r="I50" s="10" t="n">
        <f aca="false">H50*VLOOKUP(E50,Lookup!$A$2:$C$7,3,FALSE())</f>
        <v>4550</v>
      </c>
      <c r="J50" s="10" t="n">
        <f aca="false">H50-I50</f>
        <v>4550</v>
      </c>
    </row>
    <row r="51" customFormat="false" ht="15" hidden="false" customHeight="false" outlineLevel="0" collapsed="false">
      <c r="A51" s="9" t="s">
        <v>90</v>
      </c>
      <c r="B51" s="11" t="n">
        <v>45706</v>
      </c>
      <c r="C51" s="9" t="s">
        <v>13</v>
      </c>
      <c r="D51" s="9" t="s">
        <v>30</v>
      </c>
      <c r="E51" s="9" t="s">
        <v>31</v>
      </c>
      <c r="F51" s="9" t="n">
        <v>14</v>
      </c>
      <c r="G51" s="10" t="n">
        <v>2200</v>
      </c>
      <c r="H51" s="10" t="n">
        <f aca="false">F51*G51</f>
        <v>30800</v>
      </c>
      <c r="I51" s="10" t="n">
        <f aca="false">H51*VLOOKUP(E51,Lookup!$A$2:$C$7,3,FALSE())</f>
        <v>18480</v>
      </c>
      <c r="J51" s="10" t="n">
        <f aca="false">H51-I51</f>
        <v>12320</v>
      </c>
    </row>
    <row r="52" customFormat="false" ht="15" hidden="false" customHeight="false" outlineLevel="0" collapsed="false">
      <c r="A52" s="9" t="s">
        <v>91</v>
      </c>
      <c r="B52" s="11" t="n">
        <v>45748</v>
      </c>
      <c r="C52" s="9" t="s">
        <v>19</v>
      </c>
      <c r="D52" s="9" t="s">
        <v>59</v>
      </c>
      <c r="E52" s="9" t="s">
        <v>36</v>
      </c>
      <c r="F52" s="9" t="n">
        <v>24</v>
      </c>
      <c r="G52" s="10" t="n">
        <v>650</v>
      </c>
      <c r="H52" s="10" t="n">
        <f aca="false">F52*G52</f>
        <v>15600</v>
      </c>
      <c r="I52" s="10" t="n">
        <f aca="false">H52*VLOOKUP(E52,Lookup!$A$2:$C$7,3,FALSE())</f>
        <v>7800</v>
      </c>
      <c r="J52" s="10" t="n">
        <f aca="false">H52-I52</f>
        <v>7800</v>
      </c>
    </row>
    <row r="53" customFormat="false" ht="15" hidden="false" customHeight="false" outlineLevel="0" collapsed="false">
      <c r="A53" s="9" t="s">
        <v>92</v>
      </c>
      <c r="B53" s="11" t="n">
        <v>45671</v>
      </c>
      <c r="C53" s="9" t="s">
        <v>13</v>
      </c>
      <c r="D53" s="9" t="s">
        <v>30</v>
      </c>
      <c r="E53" s="9" t="s">
        <v>36</v>
      </c>
      <c r="F53" s="9" t="n">
        <v>24</v>
      </c>
      <c r="G53" s="10" t="n">
        <v>650</v>
      </c>
      <c r="H53" s="10" t="n">
        <f aca="false">F53*G53</f>
        <v>15600</v>
      </c>
      <c r="I53" s="10" t="n">
        <f aca="false">H53*VLOOKUP(E53,Lookup!$A$2:$C$7,3,FALSE())</f>
        <v>7800</v>
      </c>
      <c r="J53" s="10" t="n">
        <f aca="false">H53-I53</f>
        <v>7800</v>
      </c>
    </row>
    <row r="54" customFormat="false" ht="15" hidden="false" customHeight="false" outlineLevel="0" collapsed="false">
      <c r="A54" s="9" t="s">
        <v>93</v>
      </c>
      <c r="B54" s="11" t="n">
        <v>45744</v>
      </c>
      <c r="C54" s="9" t="s">
        <v>13</v>
      </c>
      <c r="D54" s="9" t="s">
        <v>33</v>
      </c>
      <c r="E54" s="9" t="s">
        <v>38</v>
      </c>
      <c r="F54" s="9" t="n">
        <v>7</v>
      </c>
      <c r="G54" s="10" t="n">
        <v>9500</v>
      </c>
      <c r="H54" s="10" t="n">
        <f aca="false">F54*G54</f>
        <v>66500</v>
      </c>
      <c r="I54" s="10" t="n">
        <f aca="false">H54*VLOOKUP(E54,Lookup!$A$2:$C$7,3,FALSE())</f>
        <v>43225</v>
      </c>
      <c r="J54" s="10" t="n">
        <f aca="false">H54-I54</f>
        <v>23275</v>
      </c>
    </row>
    <row r="55" customFormat="false" ht="15" hidden="false" customHeight="false" outlineLevel="0" collapsed="false">
      <c r="A55" s="9" t="s">
        <v>94</v>
      </c>
      <c r="B55" s="11" t="n">
        <v>45795</v>
      </c>
      <c r="C55" s="9" t="s">
        <v>19</v>
      </c>
      <c r="D55" s="9" t="s">
        <v>33</v>
      </c>
      <c r="E55" s="9" t="s">
        <v>36</v>
      </c>
      <c r="F55" s="9" t="n">
        <v>6</v>
      </c>
      <c r="G55" s="10" t="n">
        <v>650</v>
      </c>
      <c r="H55" s="10" t="n">
        <f aca="false">F55*G55</f>
        <v>3900</v>
      </c>
      <c r="I55" s="10" t="n">
        <f aca="false">H55*VLOOKUP(E55,Lookup!$A$2:$C$7,3,FALSE())</f>
        <v>1950</v>
      </c>
      <c r="J55" s="10" t="n">
        <f aca="false">H55-I55</f>
        <v>1950</v>
      </c>
    </row>
    <row r="56" customFormat="false" ht="15" hidden="false" customHeight="false" outlineLevel="0" collapsed="false">
      <c r="A56" s="9" t="s">
        <v>95</v>
      </c>
      <c r="B56" s="11" t="n">
        <v>45729</v>
      </c>
      <c r="C56" s="9" t="s">
        <v>19</v>
      </c>
      <c r="D56" s="9" t="s">
        <v>33</v>
      </c>
      <c r="E56" s="9" t="s">
        <v>47</v>
      </c>
      <c r="F56" s="9" t="n">
        <v>15</v>
      </c>
      <c r="G56" s="10" t="n">
        <v>55000</v>
      </c>
      <c r="H56" s="10" t="n">
        <f aca="false">F56*G56</f>
        <v>825000</v>
      </c>
      <c r="I56" s="10" t="n">
        <f aca="false">H56*VLOOKUP(E56,Lookup!$A$2:$C$7,3,FALSE())</f>
        <v>577500</v>
      </c>
      <c r="J56" s="10" t="n">
        <f aca="false">H56-I56</f>
        <v>247500</v>
      </c>
    </row>
    <row r="57" customFormat="false" ht="15" hidden="false" customHeight="false" outlineLevel="0" collapsed="false">
      <c r="A57" s="9" t="s">
        <v>96</v>
      </c>
      <c r="B57" s="11" t="n">
        <v>45864</v>
      </c>
      <c r="C57" s="9" t="s">
        <v>13</v>
      </c>
      <c r="D57" s="9" t="s">
        <v>30</v>
      </c>
      <c r="E57" s="9" t="s">
        <v>31</v>
      </c>
      <c r="F57" s="9" t="n">
        <v>18</v>
      </c>
      <c r="G57" s="10" t="n">
        <v>2200</v>
      </c>
      <c r="H57" s="10" t="n">
        <f aca="false">F57*G57</f>
        <v>39600</v>
      </c>
      <c r="I57" s="10" t="n">
        <f aca="false">H57*VLOOKUP(E57,Lookup!$A$2:$C$7,3,FALSE())</f>
        <v>23760</v>
      </c>
      <c r="J57" s="10" t="n">
        <f aca="false">H57-I57</f>
        <v>15840</v>
      </c>
    </row>
    <row r="58" customFormat="false" ht="15" hidden="false" customHeight="false" outlineLevel="0" collapsed="false">
      <c r="A58" s="9" t="s">
        <v>97</v>
      </c>
      <c r="B58" s="11" t="n">
        <v>45661</v>
      </c>
      <c r="C58" s="9" t="s">
        <v>13</v>
      </c>
      <c r="D58" s="9" t="s">
        <v>33</v>
      </c>
      <c r="E58" s="9" t="s">
        <v>38</v>
      </c>
      <c r="F58" s="9" t="n">
        <v>14</v>
      </c>
      <c r="G58" s="10" t="n">
        <v>9500</v>
      </c>
      <c r="H58" s="10" t="n">
        <f aca="false">F58*G58</f>
        <v>133000</v>
      </c>
      <c r="I58" s="10" t="n">
        <f aca="false">H58*VLOOKUP(E58,Lookup!$A$2:$C$7,3,FALSE())</f>
        <v>86450</v>
      </c>
      <c r="J58" s="10" t="n">
        <f aca="false">H58-I58</f>
        <v>46550</v>
      </c>
    </row>
    <row r="59" customFormat="false" ht="15" hidden="false" customHeight="false" outlineLevel="0" collapsed="false">
      <c r="A59" s="9" t="s">
        <v>98</v>
      </c>
      <c r="B59" s="11" t="n">
        <v>45782</v>
      </c>
      <c r="C59" s="9" t="s">
        <v>19</v>
      </c>
      <c r="D59" s="9" t="s">
        <v>33</v>
      </c>
      <c r="E59" s="9" t="s">
        <v>36</v>
      </c>
      <c r="F59" s="9" t="n">
        <v>2</v>
      </c>
      <c r="G59" s="10" t="n">
        <v>650</v>
      </c>
      <c r="H59" s="10" t="n">
        <f aca="false">F59*G59</f>
        <v>1300</v>
      </c>
      <c r="I59" s="10" t="n">
        <f aca="false">H59*VLOOKUP(E59,Lookup!$A$2:$C$7,3,FALSE())</f>
        <v>650</v>
      </c>
      <c r="J59" s="10" t="n">
        <f aca="false">H59-I59</f>
        <v>650</v>
      </c>
    </row>
    <row r="60" customFormat="false" ht="15" hidden="false" customHeight="false" outlineLevel="0" collapsed="false">
      <c r="A60" s="9" t="s">
        <v>99</v>
      </c>
      <c r="B60" s="11" t="n">
        <v>45700</v>
      </c>
      <c r="C60" s="9" t="s">
        <v>19</v>
      </c>
      <c r="D60" s="9" t="s">
        <v>30</v>
      </c>
      <c r="E60" s="9" t="s">
        <v>36</v>
      </c>
      <c r="F60" s="9" t="n">
        <v>9</v>
      </c>
      <c r="G60" s="10" t="n">
        <v>650</v>
      </c>
      <c r="H60" s="10" t="n">
        <f aca="false">F60*G60</f>
        <v>5850</v>
      </c>
      <c r="I60" s="10" t="n">
        <f aca="false">H60*VLOOKUP(E60,Lookup!$A$2:$C$7,3,FALSE())</f>
        <v>2925</v>
      </c>
      <c r="J60" s="10" t="n">
        <f aca="false">H60-I60</f>
        <v>2925</v>
      </c>
    </row>
    <row r="61" customFormat="false" ht="15" hidden="false" customHeight="false" outlineLevel="0" collapsed="false">
      <c r="A61" s="9" t="s">
        <v>100</v>
      </c>
      <c r="B61" s="11" t="n">
        <v>45858</v>
      </c>
      <c r="C61" s="9" t="s">
        <v>19</v>
      </c>
      <c r="D61" s="9" t="s">
        <v>53</v>
      </c>
      <c r="E61" s="9" t="s">
        <v>36</v>
      </c>
      <c r="F61" s="9" t="n">
        <v>23</v>
      </c>
      <c r="G61" s="10" t="n">
        <v>650</v>
      </c>
      <c r="H61" s="10" t="n">
        <f aca="false">F61*G61</f>
        <v>14950</v>
      </c>
      <c r="I61" s="10" t="n">
        <f aca="false">H61*VLOOKUP(E61,Lookup!$A$2:$C$7,3,FALSE())</f>
        <v>7475</v>
      </c>
      <c r="J61" s="10" t="n">
        <f aca="false">H61-I61</f>
        <v>7475</v>
      </c>
    </row>
    <row r="62" customFormat="false" ht="15" hidden="false" customHeight="false" outlineLevel="0" collapsed="false">
      <c r="A62" s="9" t="s">
        <v>101</v>
      </c>
      <c r="B62" s="11" t="n">
        <v>45845</v>
      </c>
      <c r="C62" s="9" t="s">
        <v>19</v>
      </c>
      <c r="D62" s="9" t="s">
        <v>33</v>
      </c>
      <c r="E62" s="9" t="s">
        <v>38</v>
      </c>
      <c r="F62" s="9" t="n">
        <v>10</v>
      </c>
      <c r="G62" s="10" t="n">
        <v>9500</v>
      </c>
      <c r="H62" s="10" t="n">
        <f aca="false">F62*G62</f>
        <v>95000</v>
      </c>
      <c r="I62" s="10" t="n">
        <f aca="false">H62*VLOOKUP(E62,Lookup!$A$2:$C$7,3,FALSE())</f>
        <v>61750</v>
      </c>
      <c r="J62" s="10" t="n">
        <f aca="false">H62-I62</f>
        <v>33250</v>
      </c>
    </row>
    <row r="63" customFormat="false" ht="15" hidden="false" customHeight="false" outlineLevel="0" collapsed="false">
      <c r="A63" s="9" t="s">
        <v>102</v>
      </c>
      <c r="B63" s="11" t="n">
        <v>45713</v>
      </c>
      <c r="C63" s="9" t="s">
        <v>13</v>
      </c>
      <c r="D63" s="9" t="s">
        <v>35</v>
      </c>
      <c r="E63" s="9" t="s">
        <v>31</v>
      </c>
      <c r="F63" s="9" t="n">
        <v>18</v>
      </c>
      <c r="G63" s="10" t="n">
        <v>2200</v>
      </c>
      <c r="H63" s="10" t="n">
        <f aca="false">F63*G63</f>
        <v>39600</v>
      </c>
      <c r="I63" s="10" t="n">
        <f aca="false">H63*VLOOKUP(E63,Lookup!$A$2:$C$7,3,FALSE())</f>
        <v>23760</v>
      </c>
      <c r="J63" s="10" t="n">
        <f aca="false">H63-I63</f>
        <v>15840</v>
      </c>
    </row>
    <row r="64" customFormat="false" ht="15" hidden="false" customHeight="false" outlineLevel="0" collapsed="false">
      <c r="A64" s="9" t="s">
        <v>103</v>
      </c>
      <c r="B64" s="11" t="n">
        <v>45673</v>
      </c>
      <c r="C64" s="9" t="s">
        <v>17</v>
      </c>
      <c r="D64" s="9" t="s">
        <v>30</v>
      </c>
      <c r="E64" s="9" t="s">
        <v>47</v>
      </c>
      <c r="F64" s="9" t="n">
        <v>19</v>
      </c>
      <c r="G64" s="10" t="n">
        <v>55000</v>
      </c>
      <c r="H64" s="10" t="n">
        <f aca="false">F64*G64</f>
        <v>1045000</v>
      </c>
      <c r="I64" s="10" t="n">
        <f aca="false">H64*VLOOKUP(E64,Lookup!$A$2:$C$7,3,FALSE())</f>
        <v>731500</v>
      </c>
      <c r="J64" s="10" t="n">
        <f aca="false">H64-I64</f>
        <v>313500</v>
      </c>
    </row>
    <row r="65" customFormat="false" ht="15" hidden="false" customHeight="false" outlineLevel="0" collapsed="false">
      <c r="A65" s="9" t="s">
        <v>104</v>
      </c>
      <c r="B65" s="11" t="n">
        <v>45780</v>
      </c>
      <c r="C65" s="9" t="s">
        <v>15</v>
      </c>
      <c r="D65" s="9" t="s">
        <v>30</v>
      </c>
      <c r="E65" s="9" t="s">
        <v>50</v>
      </c>
      <c r="F65" s="9" t="n">
        <v>3</v>
      </c>
      <c r="G65" s="10" t="n">
        <v>4200</v>
      </c>
      <c r="H65" s="10" t="n">
        <f aca="false">F65*G65</f>
        <v>12600</v>
      </c>
      <c r="I65" s="10" t="n">
        <f aca="false">H65*VLOOKUP(E65,Lookup!$A$2:$C$7,3,FALSE())</f>
        <v>8568</v>
      </c>
      <c r="J65" s="10" t="n">
        <f aca="false">H65-I65</f>
        <v>4032</v>
      </c>
    </row>
    <row r="66" customFormat="false" ht="15" hidden="false" customHeight="false" outlineLevel="0" collapsed="false">
      <c r="A66" s="9" t="s">
        <v>105</v>
      </c>
      <c r="B66" s="11" t="n">
        <v>45705</v>
      </c>
      <c r="C66" s="9" t="s">
        <v>13</v>
      </c>
      <c r="D66" s="9" t="s">
        <v>35</v>
      </c>
      <c r="E66" s="9" t="s">
        <v>47</v>
      </c>
      <c r="F66" s="9" t="n">
        <v>22</v>
      </c>
      <c r="G66" s="10" t="n">
        <v>55000</v>
      </c>
      <c r="H66" s="10" t="n">
        <f aca="false">F66*G66</f>
        <v>1210000</v>
      </c>
      <c r="I66" s="10" t="n">
        <f aca="false">H66*VLOOKUP(E66,Lookup!$A$2:$C$7,3,FALSE())</f>
        <v>847000</v>
      </c>
      <c r="J66" s="10" t="n">
        <f aca="false">H66-I66</f>
        <v>363000</v>
      </c>
    </row>
    <row r="67" customFormat="false" ht="15" hidden="false" customHeight="false" outlineLevel="0" collapsed="false">
      <c r="A67" s="9" t="s">
        <v>106</v>
      </c>
      <c r="B67" s="11" t="n">
        <v>45718</v>
      </c>
      <c r="C67" s="9" t="s">
        <v>19</v>
      </c>
      <c r="D67" s="9" t="s">
        <v>30</v>
      </c>
      <c r="E67" s="9" t="s">
        <v>50</v>
      </c>
      <c r="F67" s="9" t="n">
        <v>8</v>
      </c>
      <c r="G67" s="10" t="n">
        <v>4200</v>
      </c>
      <c r="H67" s="10" t="n">
        <f aca="false">F67*G67</f>
        <v>33600</v>
      </c>
      <c r="I67" s="10" t="n">
        <f aca="false">H67*VLOOKUP(E67,Lookup!$A$2:$C$7,3,FALSE())</f>
        <v>22848</v>
      </c>
      <c r="J67" s="10" t="n">
        <f aca="false">H67-I67</f>
        <v>10752</v>
      </c>
    </row>
    <row r="68" customFormat="false" ht="15" hidden="false" customHeight="false" outlineLevel="0" collapsed="false">
      <c r="A68" s="9" t="s">
        <v>107</v>
      </c>
      <c r="B68" s="11" t="n">
        <v>45806</v>
      </c>
      <c r="C68" s="9" t="s">
        <v>13</v>
      </c>
      <c r="D68" s="9" t="s">
        <v>35</v>
      </c>
      <c r="E68" s="9" t="s">
        <v>47</v>
      </c>
      <c r="F68" s="9" t="n">
        <v>14</v>
      </c>
      <c r="G68" s="10" t="n">
        <v>55000</v>
      </c>
      <c r="H68" s="10" t="n">
        <f aca="false">F68*G68</f>
        <v>770000</v>
      </c>
      <c r="I68" s="10" t="n">
        <f aca="false">H68*VLOOKUP(E68,Lookup!$A$2:$C$7,3,FALSE())</f>
        <v>539000</v>
      </c>
      <c r="J68" s="10" t="n">
        <f aca="false">H68-I68</f>
        <v>231000</v>
      </c>
    </row>
    <row r="69" customFormat="false" ht="15" hidden="false" customHeight="false" outlineLevel="0" collapsed="false">
      <c r="A69" s="9" t="s">
        <v>108</v>
      </c>
      <c r="B69" s="11" t="n">
        <v>45826</v>
      </c>
      <c r="C69" s="9" t="s">
        <v>17</v>
      </c>
      <c r="D69" s="9" t="s">
        <v>53</v>
      </c>
      <c r="E69" s="9" t="s">
        <v>38</v>
      </c>
      <c r="F69" s="9" t="n">
        <v>22</v>
      </c>
      <c r="G69" s="10" t="n">
        <v>9500</v>
      </c>
      <c r="H69" s="10" t="n">
        <f aca="false">F69*G69</f>
        <v>209000</v>
      </c>
      <c r="I69" s="10" t="n">
        <f aca="false">H69*VLOOKUP(E69,Lookup!$A$2:$C$7,3,FALSE())</f>
        <v>135850</v>
      </c>
      <c r="J69" s="10" t="n">
        <f aca="false">H69-I69</f>
        <v>73150</v>
      </c>
    </row>
    <row r="70" customFormat="false" ht="15" hidden="false" customHeight="false" outlineLevel="0" collapsed="false">
      <c r="A70" s="9" t="s">
        <v>109</v>
      </c>
      <c r="B70" s="11" t="n">
        <v>45841</v>
      </c>
      <c r="C70" s="9" t="s">
        <v>17</v>
      </c>
      <c r="D70" s="9" t="s">
        <v>33</v>
      </c>
      <c r="E70" s="9" t="s">
        <v>45</v>
      </c>
      <c r="F70" s="9" t="n">
        <v>13</v>
      </c>
      <c r="G70" s="10" t="n">
        <v>1200</v>
      </c>
      <c r="H70" s="10" t="n">
        <f aca="false">F70*G70</f>
        <v>15600</v>
      </c>
      <c r="I70" s="10" t="n">
        <f aca="false">H70*VLOOKUP(E70,Lookup!$A$2:$C$7,3,FALSE())</f>
        <v>8580</v>
      </c>
      <c r="J70" s="10" t="n">
        <f aca="false">H70-I70</f>
        <v>7020</v>
      </c>
    </row>
    <row r="71" customFormat="false" ht="15" hidden="false" customHeight="false" outlineLevel="0" collapsed="false">
      <c r="A71" s="9" t="s">
        <v>110</v>
      </c>
      <c r="B71" s="11" t="n">
        <v>45691</v>
      </c>
      <c r="C71" s="9" t="s">
        <v>17</v>
      </c>
      <c r="D71" s="9" t="s">
        <v>59</v>
      </c>
      <c r="E71" s="9" t="s">
        <v>45</v>
      </c>
      <c r="F71" s="9" t="n">
        <v>25</v>
      </c>
      <c r="G71" s="10" t="n">
        <v>1200</v>
      </c>
      <c r="H71" s="10" t="n">
        <f aca="false">F71*G71</f>
        <v>30000</v>
      </c>
      <c r="I71" s="10" t="n">
        <f aca="false">H71*VLOOKUP(E71,Lookup!$A$2:$C$7,3,FALSE())</f>
        <v>16500</v>
      </c>
      <c r="J71" s="10" t="n">
        <f aca="false">H71-I71</f>
        <v>13500</v>
      </c>
    </row>
    <row r="72" customFormat="false" ht="15" hidden="false" customHeight="false" outlineLevel="0" collapsed="false">
      <c r="A72" s="9" t="s">
        <v>111</v>
      </c>
      <c r="B72" s="11" t="n">
        <v>45676</v>
      </c>
      <c r="C72" s="9" t="s">
        <v>13</v>
      </c>
      <c r="D72" s="9" t="s">
        <v>59</v>
      </c>
      <c r="E72" s="9" t="s">
        <v>50</v>
      </c>
      <c r="F72" s="9" t="n">
        <v>19</v>
      </c>
      <c r="G72" s="10" t="n">
        <v>4200</v>
      </c>
      <c r="H72" s="10" t="n">
        <f aca="false">F72*G72</f>
        <v>79800</v>
      </c>
      <c r="I72" s="10" t="n">
        <f aca="false">H72*VLOOKUP(E72,Lookup!$A$2:$C$7,3,FALSE())</f>
        <v>54264</v>
      </c>
      <c r="J72" s="10" t="n">
        <f aca="false">H72-I72</f>
        <v>25536</v>
      </c>
    </row>
    <row r="73" customFormat="false" ht="15" hidden="false" customHeight="false" outlineLevel="0" collapsed="false">
      <c r="A73" s="9" t="s">
        <v>112</v>
      </c>
      <c r="B73" s="11" t="n">
        <v>45683</v>
      </c>
      <c r="C73" s="9" t="s">
        <v>13</v>
      </c>
      <c r="D73" s="9" t="s">
        <v>35</v>
      </c>
      <c r="E73" s="9" t="s">
        <v>38</v>
      </c>
      <c r="F73" s="9" t="n">
        <v>17</v>
      </c>
      <c r="G73" s="10" t="n">
        <v>9500</v>
      </c>
      <c r="H73" s="10" t="n">
        <f aca="false">F73*G73</f>
        <v>161500</v>
      </c>
      <c r="I73" s="10" t="n">
        <f aca="false">H73*VLOOKUP(E73,Lookup!$A$2:$C$7,3,FALSE())</f>
        <v>104975</v>
      </c>
      <c r="J73" s="10" t="n">
        <f aca="false">H73-I73</f>
        <v>56525</v>
      </c>
    </row>
    <row r="74" customFormat="false" ht="15" hidden="false" customHeight="false" outlineLevel="0" collapsed="false">
      <c r="A74" s="9" t="s">
        <v>113</v>
      </c>
      <c r="B74" s="11" t="n">
        <v>45725</v>
      </c>
      <c r="C74" s="9" t="s">
        <v>15</v>
      </c>
      <c r="D74" s="9" t="s">
        <v>53</v>
      </c>
      <c r="E74" s="9" t="s">
        <v>47</v>
      </c>
      <c r="F74" s="9" t="n">
        <v>8</v>
      </c>
      <c r="G74" s="10" t="n">
        <v>55000</v>
      </c>
      <c r="H74" s="10" t="n">
        <f aca="false">F74*G74</f>
        <v>440000</v>
      </c>
      <c r="I74" s="10" t="n">
        <f aca="false">H74*VLOOKUP(E74,Lookup!$A$2:$C$7,3,FALSE())</f>
        <v>308000</v>
      </c>
      <c r="J74" s="10" t="n">
        <f aca="false">H74-I74</f>
        <v>132000</v>
      </c>
    </row>
    <row r="75" customFormat="false" ht="15" hidden="false" customHeight="false" outlineLevel="0" collapsed="false">
      <c r="A75" s="9" t="s">
        <v>114</v>
      </c>
      <c r="B75" s="11" t="n">
        <v>45752</v>
      </c>
      <c r="C75" s="9" t="s">
        <v>17</v>
      </c>
      <c r="D75" s="9" t="s">
        <v>33</v>
      </c>
      <c r="E75" s="9" t="s">
        <v>36</v>
      </c>
      <c r="F75" s="9" t="n">
        <v>18</v>
      </c>
      <c r="G75" s="10" t="n">
        <v>650</v>
      </c>
      <c r="H75" s="10" t="n">
        <f aca="false">F75*G75</f>
        <v>11700</v>
      </c>
      <c r="I75" s="10" t="n">
        <f aca="false">H75*VLOOKUP(E75,Lookup!$A$2:$C$7,3,FALSE())</f>
        <v>5850</v>
      </c>
      <c r="J75" s="10" t="n">
        <f aca="false">H75-I75</f>
        <v>5850</v>
      </c>
    </row>
    <row r="76" customFormat="false" ht="15" hidden="false" customHeight="false" outlineLevel="0" collapsed="false">
      <c r="A76" s="9" t="s">
        <v>115</v>
      </c>
      <c r="B76" s="11" t="n">
        <v>45838</v>
      </c>
      <c r="C76" s="9" t="s">
        <v>17</v>
      </c>
      <c r="D76" s="9" t="s">
        <v>35</v>
      </c>
      <c r="E76" s="9" t="s">
        <v>31</v>
      </c>
      <c r="F76" s="9" t="n">
        <v>17</v>
      </c>
      <c r="G76" s="10" t="n">
        <v>2200</v>
      </c>
      <c r="H76" s="10" t="n">
        <f aca="false">F76*G76</f>
        <v>37400</v>
      </c>
      <c r="I76" s="10" t="n">
        <f aca="false">H76*VLOOKUP(E76,Lookup!$A$2:$C$7,3,FALSE())</f>
        <v>22440</v>
      </c>
      <c r="J76" s="10" t="n">
        <f aca="false">H76-I76</f>
        <v>14960</v>
      </c>
    </row>
    <row r="77" customFormat="false" ht="15" hidden="false" customHeight="false" outlineLevel="0" collapsed="false">
      <c r="A77" s="9" t="s">
        <v>116</v>
      </c>
      <c r="B77" s="11" t="n">
        <v>45660</v>
      </c>
      <c r="C77" s="9" t="s">
        <v>17</v>
      </c>
      <c r="D77" s="9" t="s">
        <v>49</v>
      </c>
      <c r="E77" s="9" t="s">
        <v>47</v>
      </c>
      <c r="F77" s="9" t="n">
        <v>5</v>
      </c>
      <c r="G77" s="10" t="n">
        <v>55000</v>
      </c>
      <c r="H77" s="10" t="n">
        <f aca="false">F77*G77</f>
        <v>275000</v>
      </c>
      <c r="I77" s="10" t="n">
        <f aca="false">H77*VLOOKUP(E77,Lookup!$A$2:$C$7,3,FALSE())</f>
        <v>192500</v>
      </c>
      <c r="J77" s="10" t="n">
        <f aca="false">H77-I77</f>
        <v>82500</v>
      </c>
    </row>
    <row r="78" customFormat="false" ht="15" hidden="false" customHeight="false" outlineLevel="0" collapsed="false">
      <c r="A78" s="9" t="s">
        <v>117</v>
      </c>
      <c r="B78" s="11" t="n">
        <v>45725</v>
      </c>
      <c r="C78" s="9" t="s">
        <v>13</v>
      </c>
      <c r="D78" s="9" t="s">
        <v>30</v>
      </c>
      <c r="E78" s="9" t="s">
        <v>31</v>
      </c>
      <c r="F78" s="9" t="n">
        <v>18</v>
      </c>
      <c r="G78" s="10" t="n">
        <v>2200</v>
      </c>
      <c r="H78" s="10" t="n">
        <f aca="false">F78*G78</f>
        <v>39600</v>
      </c>
      <c r="I78" s="10" t="n">
        <f aca="false">H78*VLOOKUP(E78,Lookup!$A$2:$C$7,3,FALSE())</f>
        <v>23760</v>
      </c>
      <c r="J78" s="10" t="n">
        <f aca="false">H78-I78</f>
        <v>15840</v>
      </c>
    </row>
    <row r="79" customFormat="false" ht="15" hidden="false" customHeight="false" outlineLevel="0" collapsed="false">
      <c r="A79" s="9" t="s">
        <v>118</v>
      </c>
      <c r="B79" s="11" t="n">
        <v>45697</v>
      </c>
      <c r="C79" s="9" t="s">
        <v>17</v>
      </c>
      <c r="D79" s="9" t="s">
        <v>53</v>
      </c>
      <c r="E79" s="9" t="s">
        <v>50</v>
      </c>
      <c r="F79" s="9" t="n">
        <v>7</v>
      </c>
      <c r="G79" s="10" t="n">
        <v>4200</v>
      </c>
      <c r="H79" s="10" t="n">
        <f aca="false">F79*G79</f>
        <v>29400</v>
      </c>
      <c r="I79" s="10" t="n">
        <f aca="false">H79*VLOOKUP(E79,Lookup!$A$2:$C$7,3,FALSE())</f>
        <v>19992</v>
      </c>
      <c r="J79" s="10" t="n">
        <f aca="false">H79-I79</f>
        <v>9408</v>
      </c>
    </row>
    <row r="80" customFormat="false" ht="15" hidden="false" customHeight="false" outlineLevel="0" collapsed="false">
      <c r="A80" s="9" t="s">
        <v>119</v>
      </c>
      <c r="B80" s="11" t="n">
        <v>45841</v>
      </c>
      <c r="C80" s="9" t="s">
        <v>17</v>
      </c>
      <c r="D80" s="9" t="s">
        <v>33</v>
      </c>
      <c r="E80" s="9" t="s">
        <v>31</v>
      </c>
      <c r="F80" s="9" t="n">
        <v>21</v>
      </c>
      <c r="G80" s="10" t="n">
        <v>2200</v>
      </c>
      <c r="H80" s="10" t="n">
        <f aca="false">F80*G80</f>
        <v>46200</v>
      </c>
      <c r="I80" s="10" t="n">
        <f aca="false">H80*VLOOKUP(E80,Lookup!$A$2:$C$7,3,FALSE())</f>
        <v>27720</v>
      </c>
      <c r="J80" s="10" t="n">
        <f aca="false">H80-I80</f>
        <v>18480</v>
      </c>
    </row>
    <row r="81" customFormat="false" ht="15" hidden="false" customHeight="false" outlineLevel="0" collapsed="false">
      <c r="A81" s="9" t="s">
        <v>120</v>
      </c>
      <c r="B81" s="11" t="n">
        <v>45725</v>
      </c>
      <c r="C81" s="9" t="s">
        <v>19</v>
      </c>
      <c r="D81" s="9" t="s">
        <v>53</v>
      </c>
      <c r="E81" s="9" t="s">
        <v>47</v>
      </c>
      <c r="F81" s="9" t="n">
        <v>3</v>
      </c>
      <c r="G81" s="10" t="n">
        <v>55000</v>
      </c>
      <c r="H81" s="10" t="n">
        <f aca="false">F81*G81</f>
        <v>165000</v>
      </c>
      <c r="I81" s="10" t="n">
        <f aca="false">H81*VLOOKUP(E81,Lookup!$A$2:$C$7,3,FALSE())</f>
        <v>115500</v>
      </c>
      <c r="J81" s="10" t="n">
        <f aca="false">H81-I81</f>
        <v>49500</v>
      </c>
    </row>
    <row r="82" customFormat="false" ht="15" hidden="false" customHeight="false" outlineLevel="0" collapsed="false">
      <c r="A82" s="9" t="s">
        <v>121</v>
      </c>
      <c r="B82" s="11" t="n">
        <v>45820</v>
      </c>
      <c r="C82" s="9" t="s">
        <v>19</v>
      </c>
      <c r="D82" s="9" t="s">
        <v>53</v>
      </c>
      <c r="E82" s="9" t="s">
        <v>47</v>
      </c>
      <c r="F82" s="9" t="n">
        <v>1</v>
      </c>
      <c r="G82" s="10" t="n">
        <v>55000</v>
      </c>
      <c r="H82" s="10" t="n">
        <f aca="false">F82*G82</f>
        <v>55000</v>
      </c>
      <c r="I82" s="10" t="n">
        <f aca="false">H82*VLOOKUP(E82,Lookup!$A$2:$C$7,3,FALSE())</f>
        <v>38500</v>
      </c>
      <c r="J82" s="10" t="n">
        <f aca="false">H82-I82</f>
        <v>16500</v>
      </c>
    </row>
    <row r="83" customFormat="false" ht="15" hidden="false" customHeight="false" outlineLevel="0" collapsed="false">
      <c r="A83" s="9" t="s">
        <v>122</v>
      </c>
      <c r="B83" s="11" t="n">
        <v>45743</v>
      </c>
      <c r="C83" s="9" t="s">
        <v>15</v>
      </c>
      <c r="D83" s="9" t="s">
        <v>49</v>
      </c>
      <c r="E83" s="9" t="s">
        <v>45</v>
      </c>
      <c r="F83" s="9" t="n">
        <v>6</v>
      </c>
      <c r="G83" s="10" t="n">
        <v>1200</v>
      </c>
      <c r="H83" s="10" t="n">
        <f aca="false">F83*G83</f>
        <v>7200</v>
      </c>
      <c r="I83" s="10" t="n">
        <f aca="false">H83*VLOOKUP(E83,Lookup!$A$2:$C$7,3,FALSE())</f>
        <v>3960</v>
      </c>
      <c r="J83" s="10" t="n">
        <f aca="false">H83-I83</f>
        <v>3240</v>
      </c>
    </row>
    <row r="84" customFormat="false" ht="15" hidden="false" customHeight="false" outlineLevel="0" collapsed="false">
      <c r="A84" s="9" t="s">
        <v>123</v>
      </c>
      <c r="B84" s="11" t="n">
        <v>45847</v>
      </c>
      <c r="C84" s="9" t="s">
        <v>19</v>
      </c>
      <c r="D84" s="9" t="s">
        <v>35</v>
      </c>
      <c r="E84" s="9" t="s">
        <v>31</v>
      </c>
      <c r="F84" s="9" t="n">
        <v>14</v>
      </c>
      <c r="G84" s="10" t="n">
        <v>2200</v>
      </c>
      <c r="H84" s="10" t="n">
        <f aca="false">F84*G84</f>
        <v>30800</v>
      </c>
      <c r="I84" s="10" t="n">
        <f aca="false">H84*VLOOKUP(E84,Lookup!$A$2:$C$7,3,FALSE())</f>
        <v>18480</v>
      </c>
      <c r="J84" s="10" t="n">
        <f aca="false">H84-I84</f>
        <v>12320</v>
      </c>
    </row>
    <row r="85" customFormat="false" ht="15" hidden="false" customHeight="false" outlineLevel="0" collapsed="false">
      <c r="A85" s="9" t="s">
        <v>124</v>
      </c>
      <c r="B85" s="11" t="n">
        <v>45801</v>
      </c>
      <c r="C85" s="9" t="s">
        <v>13</v>
      </c>
      <c r="D85" s="9" t="s">
        <v>30</v>
      </c>
      <c r="E85" s="9" t="s">
        <v>47</v>
      </c>
      <c r="F85" s="9" t="n">
        <v>23</v>
      </c>
      <c r="G85" s="10" t="n">
        <v>55000</v>
      </c>
      <c r="H85" s="10" t="n">
        <f aca="false">F85*G85</f>
        <v>1265000</v>
      </c>
      <c r="I85" s="10" t="n">
        <f aca="false">H85*VLOOKUP(E85,Lookup!$A$2:$C$7,3,FALSE())</f>
        <v>885500</v>
      </c>
      <c r="J85" s="10" t="n">
        <f aca="false">H85-I85</f>
        <v>379500</v>
      </c>
    </row>
    <row r="86" customFormat="false" ht="15" hidden="false" customHeight="false" outlineLevel="0" collapsed="false">
      <c r="A86" s="9" t="s">
        <v>125</v>
      </c>
      <c r="B86" s="11" t="n">
        <v>45696</v>
      </c>
      <c r="C86" s="9" t="s">
        <v>13</v>
      </c>
      <c r="D86" s="9" t="s">
        <v>53</v>
      </c>
      <c r="E86" s="9" t="s">
        <v>50</v>
      </c>
      <c r="F86" s="9" t="n">
        <v>18</v>
      </c>
      <c r="G86" s="10" t="n">
        <v>4200</v>
      </c>
      <c r="H86" s="10" t="n">
        <f aca="false">F86*G86</f>
        <v>75600</v>
      </c>
      <c r="I86" s="10" t="n">
        <f aca="false">H86*VLOOKUP(E86,Lookup!$A$2:$C$7,3,FALSE())</f>
        <v>51408</v>
      </c>
      <c r="J86" s="10" t="n">
        <f aca="false">H86-I86</f>
        <v>24192</v>
      </c>
    </row>
    <row r="87" customFormat="false" ht="15" hidden="false" customHeight="false" outlineLevel="0" collapsed="false">
      <c r="A87" s="9" t="s">
        <v>126</v>
      </c>
      <c r="B87" s="11" t="n">
        <v>45695</v>
      </c>
      <c r="C87" s="9" t="s">
        <v>19</v>
      </c>
      <c r="D87" s="9" t="s">
        <v>33</v>
      </c>
      <c r="E87" s="9" t="s">
        <v>47</v>
      </c>
      <c r="F87" s="9" t="n">
        <v>10</v>
      </c>
      <c r="G87" s="10" t="n">
        <v>55000</v>
      </c>
      <c r="H87" s="10" t="n">
        <f aca="false">F87*G87</f>
        <v>550000</v>
      </c>
      <c r="I87" s="10" t="n">
        <f aca="false">H87*VLOOKUP(E87,Lookup!$A$2:$C$7,3,FALSE())</f>
        <v>385000</v>
      </c>
      <c r="J87" s="10" t="n">
        <f aca="false">H87-I87</f>
        <v>165000</v>
      </c>
    </row>
    <row r="88" customFormat="false" ht="15" hidden="false" customHeight="false" outlineLevel="0" collapsed="false">
      <c r="A88" s="9" t="s">
        <v>127</v>
      </c>
      <c r="B88" s="11" t="n">
        <v>45751</v>
      </c>
      <c r="C88" s="9" t="s">
        <v>13</v>
      </c>
      <c r="D88" s="9" t="s">
        <v>53</v>
      </c>
      <c r="E88" s="9" t="s">
        <v>38</v>
      </c>
      <c r="F88" s="9" t="n">
        <v>22</v>
      </c>
      <c r="G88" s="10" t="n">
        <v>9500</v>
      </c>
      <c r="H88" s="10" t="n">
        <f aca="false">F88*G88</f>
        <v>209000</v>
      </c>
      <c r="I88" s="10" t="n">
        <f aca="false">H88*VLOOKUP(E88,Lookup!$A$2:$C$7,3,FALSE())</f>
        <v>135850</v>
      </c>
      <c r="J88" s="10" t="n">
        <f aca="false">H88-I88</f>
        <v>73150</v>
      </c>
    </row>
    <row r="89" customFormat="false" ht="15" hidden="false" customHeight="false" outlineLevel="0" collapsed="false">
      <c r="A89" s="9" t="s">
        <v>128</v>
      </c>
      <c r="B89" s="11" t="n">
        <v>45721</v>
      </c>
      <c r="C89" s="9" t="s">
        <v>13</v>
      </c>
      <c r="D89" s="9" t="s">
        <v>53</v>
      </c>
      <c r="E89" s="9" t="s">
        <v>50</v>
      </c>
      <c r="F89" s="9" t="n">
        <v>14</v>
      </c>
      <c r="G89" s="10" t="n">
        <v>4200</v>
      </c>
      <c r="H89" s="10" t="n">
        <f aca="false">F89*G89</f>
        <v>58800</v>
      </c>
      <c r="I89" s="10" t="n">
        <f aca="false">H89*VLOOKUP(E89,Lookup!$A$2:$C$7,3,FALSE())</f>
        <v>39984</v>
      </c>
      <c r="J89" s="10" t="n">
        <f aca="false">H89-I89</f>
        <v>18816</v>
      </c>
    </row>
    <row r="90" customFormat="false" ht="15" hidden="false" customHeight="false" outlineLevel="0" collapsed="false">
      <c r="A90" s="9" t="s">
        <v>129</v>
      </c>
      <c r="B90" s="11" t="n">
        <v>45816</v>
      </c>
      <c r="C90" s="9" t="s">
        <v>15</v>
      </c>
      <c r="D90" s="9" t="s">
        <v>33</v>
      </c>
      <c r="E90" s="9" t="s">
        <v>38</v>
      </c>
      <c r="F90" s="9" t="n">
        <v>6</v>
      </c>
      <c r="G90" s="10" t="n">
        <v>9500</v>
      </c>
      <c r="H90" s="10" t="n">
        <f aca="false">F90*G90</f>
        <v>57000</v>
      </c>
      <c r="I90" s="10" t="n">
        <f aca="false">H90*VLOOKUP(E90,Lookup!$A$2:$C$7,3,FALSE())</f>
        <v>37050</v>
      </c>
      <c r="J90" s="10" t="n">
        <f aca="false">H90-I90</f>
        <v>19950</v>
      </c>
    </row>
    <row r="91" customFormat="false" ht="15" hidden="false" customHeight="false" outlineLevel="0" collapsed="false">
      <c r="A91" s="9" t="s">
        <v>130</v>
      </c>
      <c r="B91" s="11" t="n">
        <v>45763</v>
      </c>
      <c r="C91" s="9" t="s">
        <v>13</v>
      </c>
      <c r="D91" s="9" t="s">
        <v>33</v>
      </c>
      <c r="E91" s="9" t="s">
        <v>31</v>
      </c>
      <c r="F91" s="9" t="n">
        <v>11</v>
      </c>
      <c r="G91" s="10" t="n">
        <v>2200</v>
      </c>
      <c r="H91" s="10" t="n">
        <f aca="false">F91*G91</f>
        <v>24200</v>
      </c>
      <c r="I91" s="10" t="n">
        <f aca="false">H91*VLOOKUP(E91,Lookup!$A$2:$C$7,3,FALSE())</f>
        <v>14520</v>
      </c>
      <c r="J91" s="10" t="n">
        <f aca="false">H91-I91</f>
        <v>9680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7" t="s">
        <v>23</v>
      </c>
      <c r="B1" s="7" t="s">
        <v>12</v>
      </c>
      <c r="C1" s="7" t="s">
        <v>131</v>
      </c>
    </row>
    <row r="2" customFormat="false" ht="15" hidden="false" customHeight="false" outlineLevel="0" collapsed="false">
      <c r="A2" s="9" t="s">
        <v>47</v>
      </c>
      <c r="B2" s="9" t="s">
        <v>14</v>
      </c>
      <c r="C2" s="12" t="n">
        <v>0.7</v>
      </c>
    </row>
    <row r="3" customFormat="false" ht="15" hidden="false" customHeight="false" outlineLevel="0" collapsed="false">
      <c r="A3" s="9" t="s">
        <v>38</v>
      </c>
      <c r="B3" s="9" t="s">
        <v>16</v>
      </c>
      <c r="C3" s="12" t="n">
        <v>0.65</v>
      </c>
    </row>
    <row r="4" customFormat="false" ht="15" hidden="false" customHeight="false" outlineLevel="0" collapsed="false">
      <c r="A4" s="9" t="s">
        <v>45</v>
      </c>
      <c r="B4" s="9" t="s">
        <v>18</v>
      </c>
      <c r="C4" s="12" t="n">
        <v>0.55</v>
      </c>
    </row>
    <row r="5" customFormat="false" ht="15" hidden="false" customHeight="false" outlineLevel="0" collapsed="false">
      <c r="A5" s="9" t="s">
        <v>36</v>
      </c>
      <c r="B5" s="9" t="s">
        <v>18</v>
      </c>
      <c r="C5" s="12" t="n">
        <v>0.5</v>
      </c>
    </row>
    <row r="6" customFormat="false" ht="15" hidden="false" customHeight="false" outlineLevel="0" collapsed="false">
      <c r="A6" s="9" t="s">
        <v>50</v>
      </c>
      <c r="B6" s="9" t="s">
        <v>16</v>
      </c>
      <c r="C6" s="12" t="n">
        <v>0.68</v>
      </c>
    </row>
    <row r="7" customFormat="false" ht="15" hidden="false" customHeight="false" outlineLevel="0" collapsed="false">
      <c r="A7" s="9" t="s">
        <v>31</v>
      </c>
      <c r="B7" s="9" t="s">
        <v>18</v>
      </c>
      <c r="C7" s="12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2026-07-27T23:56:59Z</dcterms:created>
  <dc:creator>openpyxl</dc:creator>
  <dc:description/>
  <dc:language>en-US</dc:language>
  <cp:lastModifiedBy/>
  <dcterms:modified xsi:type="dcterms:W3CDTF">2026-07-27T23:57:02Z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